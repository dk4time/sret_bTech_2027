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op 40" sheetId="1" r:id="rId5"/>
    <sheet name="Weights &amp; Method" sheetId="2" r:id="rId6"/>
    <sheet name="All Students" sheetId="3" r:id="rId7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<sst xmlns="http://schemas.openxmlformats.org/spreadsheetml/2006/main" uniqueCount="469">
  <si>
    <t>SRET 2027 — Top 40 Students</t>
  </si>
  <si>
    <t>Ranked by: Test performance 55% · Attendance 30% · Handpicked 15%</t>
  </si>
  <si>
    <t>Rank</t>
  </si>
  <si>
    <t>Reg No.</t>
  </si>
  <si>
    <t>Name</t>
  </si>
  <si>
    <t>Department</t>
  </si>
  <si>
    <t>Handpicked</t>
  </si>
  <si>
    <t>Tests taken /52</t>
  </si>
  <si>
    <t>Avg score %</t>
  </si>
  <si>
    <t>Attendance %</t>
  </si>
  <si>
    <t>Final score</t>
  </si>
  <si>
    <t>Watch-outs</t>
  </si>
  <si>
    <r>
      <rPr>
        <sz val="11"/>
        <color indexed="8"/>
        <rFont val="Arial"/>
      </rPr>
      <t>E0223008</t>
    </r>
  </si>
  <si>
    <r>
      <rPr>
        <sz val="11"/>
        <color indexed="8"/>
        <rFont val="Arial"/>
      </rPr>
      <t>Athena Caleb</t>
    </r>
  </si>
  <si>
    <r>
      <rPr>
        <sz val="11"/>
        <color indexed="8"/>
        <rFont val="Arial"/>
      </rPr>
      <t>B.Tech CSE-CSIOT</t>
    </r>
  </si>
  <si>
    <r>
      <rPr>
        <sz val="11"/>
        <color indexed="8"/>
        <rFont val="Arial"/>
      </rPr>
      <t>CYBER</t>
    </r>
  </si>
  <si>
    <r>
      <rPr>
        <sz val="11"/>
        <color indexed="8"/>
        <rFont val="Arial"/>
      </rPr>
      <t>E0223003</t>
    </r>
  </si>
  <si>
    <r>
      <rPr>
        <sz val="11"/>
        <color indexed="8"/>
        <rFont val="Arial"/>
      </rPr>
      <t>Shansita S</t>
    </r>
  </si>
  <si>
    <r>
      <rPr>
        <sz val="11"/>
        <color indexed="8"/>
        <rFont val="Arial"/>
      </rPr>
      <t>E0323011</t>
    </r>
  </si>
  <si>
    <r>
      <rPr>
        <sz val="11"/>
        <color indexed="8"/>
        <rFont val="Arial"/>
      </rPr>
      <t>Nithish Kumar</t>
    </r>
  </si>
  <si>
    <r>
      <rPr>
        <sz val="11"/>
        <color indexed="8"/>
        <rFont val="Arial"/>
      </rPr>
      <t>B.Tech CSE-AIDA</t>
    </r>
  </si>
  <si>
    <r>
      <rPr>
        <sz val="11"/>
        <color indexed="8"/>
        <rFont val="Arial"/>
      </rPr>
      <t>AIDA</t>
    </r>
  </si>
  <si>
    <r>
      <rPr>
        <sz val="11"/>
        <color indexed="8"/>
        <rFont val="Arial"/>
      </rPr>
      <t>E0123034</t>
    </r>
  </si>
  <si>
    <r>
      <rPr>
        <sz val="11"/>
        <color indexed="8"/>
        <rFont val="Arial"/>
      </rPr>
      <t>Dhanuja Vidya T</t>
    </r>
  </si>
  <si>
    <r>
      <rPr>
        <sz val="11"/>
        <color indexed="8"/>
        <rFont val="Arial"/>
      </rPr>
      <t>B.Tech CSE-AIML</t>
    </r>
  </si>
  <si>
    <r>
      <rPr>
        <sz val="11"/>
        <color indexed="8"/>
        <rFont val="Arial"/>
      </rPr>
      <t>AIML</t>
    </r>
  </si>
  <si>
    <r>
      <rPr>
        <sz val="11"/>
        <color indexed="8"/>
        <rFont val="Arial"/>
      </rPr>
      <t>E0423030</t>
    </r>
  </si>
  <si>
    <r>
      <rPr>
        <sz val="11"/>
        <color indexed="8"/>
        <rFont val="Arial"/>
      </rPr>
      <t>Priyadharshini.H</t>
    </r>
  </si>
  <si>
    <r>
      <rPr>
        <sz val="11"/>
        <color indexed="8"/>
        <rFont val="Arial"/>
      </rPr>
      <t>B.Tech CSME-AIDA</t>
    </r>
  </si>
  <si>
    <r>
      <rPr>
        <sz val="11"/>
        <color indexed="8"/>
        <rFont val="Arial"/>
      </rPr>
      <t>MED</t>
    </r>
  </si>
  <si>
    <r>
      <rPr>
        <sz val="11"/>
        <color indexed="8"/>
        <rFont val="Arial"/>
      </rPr>
      <t>E0423002</t>
    </r>
  </si>
  <si>
    <r>
      <rPr>
        <sz val="11"/>
        <color indexed="8"/>
        <rFont val="Arial"/>
      </rPr>
      <t>Nikhilesh</t>
    </r>
  </si>
  <si>
    <r>
      <rPr>
        <sz val="11"/>
        <color indexed="8"/>
        <rFont val="Arial"/>
      </rPr>
      <t>E0323040</t>
    </r>
  </si>
  <si>
    <r>
      <rPr>
        <sz val="11"/>
        <color indexed="8"/>
        <rFont val="Arial"/>
      </rPr>
      <t>DARSHAN V</t>
    </r>
  </si>
  <si>
    <r>
      <rPr>
        <sz val="11"/>
        <color indexed="8"/>
        <rFont val="Arial"/>
      </rPr>
      <t>Scores in bottom third of test-takers</t>
    </r>
  </si>
  <si>
    <r>
      <rPr>
        <sz val="11"/>
        <color indexed="8"/>
        <rFont val="Arial"/>
      </rPr>
      <t>E0123021</t>
    </r>
  </si>
  <si>
    <r>
      <rPr>
        <sz val="11"/>
        <color indexed="8"/>
        <rFont val="Arial"/>
      </rPr>
      <t>Koshree V</t>
    </r>
  </si>
  <si>
    <r>
      <rPr>
        <sz val="11"/>
        <color indexed="8"/>
        <rFont val="Arial"/>
      </rPr>
      <t>E0123049</t>
    </r>
  </si>
  <si>
    <r>
      <rPr>
        <sz val="11"/>
        <color indexed="8"/>
        <rFont val="Arial"/>
      </rPr>
      <t>Srinath A</t>
    </r>
  </si>
  <si>
    <r>
      <rPr>
        <sz val="11"/>
        <color indexed="8"/>
        <rFont val="Arial"/>
      </rPr>
      <t>E0123015</t>
    </r>
  </si>
  <si>
    <r>
      <rPr>
        <sz val="11"/>
        <color indexed="8"/>
        <rFont val="Arial"/>
      </rPr>
      <t>Leela Nandha Kishore K S</t>
    </r>
  </si>
  <si>
    <r>
      <rPr>
        <sz val="11"/>
        <color indexed="8"/>
        <rFont val="Arial"/>
      </rPr>
      <t>Only 17/52 tests taken</t>
    </r>
  </si>
  <si>
    <r>
      <rPr>
        <sz val="11"/>
        <color indexed="8"/>
        <rFont val="Arial"/>
      </rPr>
      <t>E0123007</t>
    </r>
  </si>
  <si>
    <r>
      <rPr>
        <sz val="11"/>
        <color indexed="8"/>
        <rFont val="Arial"/>
      </rPr>
      <t>GOKUL B</t>
    </r>
  </si>
  <si>
    <r>
      <rPr>
        <sz val="11"/>
        <color indexed="8"/>
        <rFont val="Arial"/>
      </rPr>
      <t>E0423028</t>
    </r>
  </si>
  <si>
    <r>
      <rPr>
        <sz val="11"/>
        <color indexed="8"/>
        <rFont val="Arial"/>
      </rPr>
      <t>Prasanna T</t>
    </r>
  </si>
  <si>
    <t>No — data pick</t>
  </si>
  <si>
    <r>
      <rPr>
        <sz val="11"/>
        <color indexed="8"/>
        <rFont val="Arial"/>
      </rPr>
      <t>Top-15 on data but not handpicked</t>
    </r>
  </si>
  <si>
    <r>
      <rPr>
        <sz val="11"/>
        <color indexed="8"/>
        <rFont val="Arial"/>
      </rPr>
      <t>E0323029</t>
    </r>
  </si>
  <si>
    <r>
      <rPr>
        <sz val="11"/>
        <color indexed="8"/>
        <rFont val="Arial"/>
      </rPr>
      <t>Ganesh K</t>
    </r>
  </si>
  <si>
    <r>
      <rPr>
        <sz val="11"/>
        <color indexed="8"/>
        <rFont val="Arial"/>
      </rPr>
      <t>E0323048</t>
    </r>
  </si>
  <si>
    <r>
      <rPr>
        <sz val="11"/>
        <color indexed="8"/>
        <rFont val="Arial"/>
      </rPr>
      <t>Tejaswini.R.J</t>
    </r>
  </si>
  <si>
    <r>
      <rPr>
        <sz val="11"/>
        <color indexed="8"/>
        <rFont val="Arial"/>
      </rPr>
      <t>E0223028</t>
    </r>
  </si>
  <si>
    <r>
      <rPr>
        <sz val="11"/>
        <color indexed="8"/>
        <rFont val="Arial"/>
      </rPr>
      <t>Neelesh K</t>
    </r>
  </si>
  <si>
    <r>
      <rPr>
        <sz val="11"/>
        <color indexed="8"/>
        <rFont val="Arial"/>
      </rPr>
      <t>E0223002</t>
    </r>
  </si>
  <si>
    <r>
      <rPr>
        <sz val="11"/>
        <color indexed="8"/>
        <rFont val="Arial"/>
      </rPr>
      <t>Jacelyn Felcita J</t>
    </r>
  </si>
  <si>
    <r>
      <rPr>
        <sz val="11"/>
        <color indexed="8"/>
        <rFont val="Arial"/>
      </rPr>
      <t>E0223017</t>
    </r>
  </si>
  <si>
    <r>
      <rPr>
        <sz val="11"/>
        <color indexed="8"/>
        <rFont val="Arial"/>
      </rPr>
      <t>Arjun V</t>
    </r>
  </si>
  <si>
    <r>
      <rPr>
        <sz val="11"/>
        <color indexed="8"/>
        <rFont val="Arial"/>
      </rPr>
      <t>Only 18/52 tests taken; Mostly inactive on tests since 31 Aug (5/35)</t>
    </r>
  </si>
  <si>
    <r>
      <rPr>
        <sz val="11"/>
        <color indexed="8"/>
        <rFont val="Arial"/>
      </rPr>
      <t>E0323009</t>
    </r>
  </si>
  <si>
    <r>
      <rPr>
        <sz val="11"/>
        <color indexed="8"/>
        <rFont val="Arial"/>
      </rPr>
      <t>Varnika Ramesh</t>
    </r>
  </si>
  <si>
    <r>
      <rPr>
        <sz val="11"/>
        <color indexed="8"/>
        <rFont val="Arial"/>
      </rPr>
      <t>E0323014</t>
    </r>
  </si>
  <si>
    <r>
      <rPr>
        <sz val="11"/>
        <color indexed="8"/>
        <rFont val="Arial"/>
      </rPr>
      <t>Sharmila S</t>
    </r>
  </si>
  <si>
    <r>
      <rPr>
        <sz val="11"/>
        <color indexed="8"/>
        <rFont val="Arial"/>
      </rPr>
      <t>Class attendance 60%</t>
    </r>
  </si>
  <si>
    <r>
      <rPr>
        <sz val="11"/>
        <color indexed="8"/>
        <rFont val="Arial"/>
      </rPr>
      <t>E0223011</t>
    </r>
  </si>
  <si>
    <r>
      <rPr>
        <sz val="11"/>
        <color indexed="8"/>
        <rFont val="Arial"/>
      </rPr>
      <t>Yuvaraj R</t>
    </r>
  </si>
  <si>
    <r>
      <rPr>
        <sz val="11"/>
        <color indexed="8"/>
        <rFont val="Arial"/>
      </rPr>
      <t>E0223006</t>
    </r>
  </si>
  <si>
    <r>
      <rPr>
        <sz val="11"/>
        <color indexed="8"/>
        <rFont val="Arial"/>
      </rPr>
      <t>Naveen Sekhar</t>
    </r>
  </si>
  <si>
    <r>
      <rPr>
        <sz val="11"/>
        <color indexed="8"/>
        <rFont val="Arial"/>
      </rPr>
      <t>Only 17/52 tests taken; Mostly inactive on tests since 31 Aug (6/35)</t>
    </r>
  </si>
  <si>
    <r>
      <rPr>
        <sz val="11"/>
        <color indexed="8"/>
        <rFont val="Arial"/>
      </rPr>
      <t>E0423006</t>
    </r>
  </si>
  <si>
    <r>
      <rPr>
        <sz val="11"/>
        <color indexed="8"/>
        <rFont val="Arial"/>
      </rPr>
      <t>B Priyadarshini</t>
    </r>
  </si>
  <si>
    <r>
      <rPr>
        <sz val="11"/>
        <color indexed="8"/>
        <rFont val="Arial"/>
      </rPr>
      <t>E0123028</t>
    </r>
  </si>
  <si>
    <r>
      <rPr>
        <sz val="11"/>
        <color indexed="8"/>
        <rFont val="Arial"/>
      </rPr>
      <t>G. Tanya Sri</t>
    </r>
  </si>
  <si>
    <r>
      <rPr>
        <sz val="11"/>
        <color indexed="8"/>
        <rFont val="Arial"/>
      </rPr>
      <t>E0123013</t>
    </r>
  </si>
  <si>
    <r>
      <rPr>
        <sz val="11"/>
        <color indexed="8"/>
        <rFont val="Arial"/>
      </rPr>
      <t>ABEEJAY M</t>
    </r>
  </si>
  <si>
    <r>
      <rPr>
        <sz val="11"/>
        <color indexed="8"/>
        <rFont val="Arial"/>
      </rPr>
      <t>Only 5/52 tests taken; Mostly inactive on tests since 31 Aug (3/35)</t>
    </r>
  </si>
  <si>
    <r>
      <rPr>
        <sz val="11"/>
        <color indexed="8"/>
        <rFont val="Arial"/>
      </rPr>
      <t>E0123043</t>
    </r>
  </si>
  <si>
    <r>
      <rPr>
        <sz val="11"/>
        <color indexed="8"/>
        <rFont val="Arial"/>
      </rPr>
      <t>Riya Vinod</t>
    </r>
  </si>
  <si>
    <r>
      <rPr>
        <sz val="11"/>
        <color indexed="8"/>
        <rFont val="Arial"/>
      </rPr>
      <t>E0223014</t>
    </r>
  </si>
  <si>
    <r>
      <rPr>
        <sz val="11"/>
        <color indexed="8"/>
        <rFont val="Arial"/>
      </rPr>
      <t>Mehul V A</t>
    </r>
  </si>
  <si>
    <r>
      <rPr>
        <sz val="11"/>
        <color indexed="8"/>
        <rFont val="Arial"/>
      </rPr>
      <t>E0123001</t>
    </r>
  </si>
  <si>
    <r>
      <rPr>
        <sz val="11"/>
        <color indexed="8"/>
        <rFont val="Arial"/>
      </rPr>
      <t>Harisundar.R</t>
    </r>
  </si>
  <si>
    <r>
      <rPr>
        <sz val="11"/>
        <color indexed="8"/>
        <rFont val="Arial"/>
      </rPr>
      <t>Only 11/52 tests taken; Mostly inactive on tests since 31 Aug (0/35)</t>
    </r>
  </si>
  <si>
    <r>
      <rPr>
        <sz val="11"/>
        <color indexed="8"/>
        <rFont val="Arial"/>
      </rPr>
      <t>E0423008</t>
    </r>
  </si>
  <si>
    <r>
      <rPr>
        <sz val="11"/>
        <color indexed="8"/>
        <rFont val="Arial"/>
      </rPr>
      <t>S.H.ASHMITHA</t>
    </r>
  </si>
  <si>
    <r>
      <rPr>
        <sz val="11"/>
        <color indexed="8"/>
        <rFont val="Arial"/>
      </rPr>
      <t>Class attendance 55%</t>
    </r>
  </si>
  <si>
    <r>
      <rPr>
        <sz val="11"/>
        <color indexed="8"/>
        <rFont val="Arial"/>
      </rPr>
      <t>E0423036</t>
    </r>
  </si>
  <si>
    <r>
      <rPr>
        <sz val="11"/>
        <color indexed="8"/>
        <rFont val="Arial"/>
      </rPr>
      <t>Nithisha</t>
    </r>
  </si>
  <si>
    <r>
      <rPr>
        <sz val="11"/>
        <color indexed="8"/>
        <rFont val="Arial"/>
      </rPr>
      <t>E0423015</t>
    </r>
  </si>
  <si>
    <r>
      <rPr>
        <sz val="11"/>
        <color indexed="8"/>
        <rFont val="Arial"/>
      </rPr>
      <t>PRIYANKA K</t>
    </r>
  </si>
  <si>
    <r>
      <rPr>
        <sz val="11"/>
        <color indexed="8"/>
        <rFont val="Arial"/>
      </rPr>
      <t>E0423017</t>
    </r>
  </si>
  <si>
    <r>
      <rPr>
        <sz val="11"/>
        <color indexed="8"/>
        <rFont val="Arial"/>
      </rPr>
      <t>Parithy M</t>
    </r>
  </si>
  <si>
    <r>
      <rPr>
        <sz val="11"/>
        <color indexed="8"/>
        <rFont val="Arial"/>
      </rPr>
      <t>E0423023</t>
    </r>
  </si>
  <si>
    <r>
      <rPr>
        <sz val="11"/>
        <color indexed="8"/>
        <rFont val="Arial"/>
      </rPr>
      <t>Akshaya</t>
    </r>
  </si>
  <si>
    <r>
      <rPr>
        <sz val="11"/>
        <color indexed="8"/>
        <rFont val="Arial"/>
      </rPr>
      <t>E0123011</t>
    </r>
  </si>
  <si>
    <r>
      <rPr>
        <sz val="11"/>
        <color indexed="8"/>
        <rFont val="Arial"/>
      </rPr>
      <t>Abirami k</t>
    </r>
  </si>
  <si>
    <r>
      <rPr>
        <sz val="11"/>
        <color indexed="8"/>
        <rFont val="Arial"/>
      </rPr>
      <t>E0423031</t>
    </r>
  </si>
  <si>
    <r>
      <rPr>
        <sz val="11"/>
        <color indexed="8"/>
        <rFont val="Arial"/>
      </rPr>
      <t>Aakarshana R</t>
    </r>
  </si>
  <si>
    <r>
      <rPr>
        <sz val="11"/>
        <color indexed="8"/>
        <rFont val="Arial"/>
      </rPr>
      <t>E0323019</t>
    </r>
  </si>
  <si>
    <r>
      <rPr>
        <sz val="11"/>
        <color indexed="8"/>
        <rFont val="Arial"/>
      </rPr>
      <t>SEJONE THOMAS FRANK</t>
    </r>
  </si>
  <si>
    <r>
      <rPr>
        <sz val="11"/>
        <color indexed="8"/>
        <rFont val="Arial"/>
      </rPr>
      <t>E0123026</t>
    </r>
  </si>
  <si>
    <r>
      <rPr>
        <sz val="11"/>
        <color indexed="8"/>
        <rFont val="Arial"/>
      </rPr>
      <t>Aakash N</t>
    </r>
  </si>
  <si>
    <r>
      <rPr>
        <sz val="11"/>
        <color indexed="8"/>
        <rFont val="Arial"/>
      </rPr>
      <t>Only 16/52 tests taken; Scores in bottom third of test-takers</t>
    </r>
  </si>
  <si>
    <r>
      <rPr>
        <sz val="11"/>
        <color indexed="8"/>
        <rFont val="Arial"/>
      </rPr>
      <t>E0223009</t>
    </r>
  </si>
  <si>
    <r>
      <rPr>
        <sz val="11"/>
        <color indexed="8"/>
        <rFont val="Arial"/>
      </rPr>
      <t>Advaita Suresh</t>
    </r>
  </si>
  <si>
    <r>
      <rPr>
        <sz val="11"/>
        <color indexed="8"/>
        <rFont val="Arial"/>
      </rPr>
      <t>E0223020</t>
    </r>
  </si>
  <si>
    <r>
      <rPr>
        <sz val="11"/>
        <color indexed="8"/>
        <rFont val="Arial"/>
      </rPr>
      <t>Rujita Balamurugan</t>
    </r>
  </si>
  <si>
    <r>
      <rPr>
        <sz val="11"/>
        <color indexed="8"/>
        <rFont val="Arial"/>
      </rPr>
      <t>Class attendance 56%</t>
    </r>
  </si>
  <si>
    <r>
      <rPr>
        <sz val="11"/>
        <color indexed="8"/>
        <rFont val="Arial"/>
      </rPr>
      <t>E0123008</t>
    </r>
  </si>
  <si>
    <r>
      <rPr>
        <sz val="11"/>
        <color indexed="8"/>
        <rFont val="Arial"/>
      </rPr>
      <t>MOHAMED JASMIR</t>
    </r>
  </si>
  <si>
    <r>
      <rPr>
        <sz val="11"/>
        <color indexed="8"/>
        <rFont val="Arial"/>
      </rPr>
      <t>Only 17/52 tests taken; Class attendance 60%</t>
    </r>
  </si>
  <si>
    <r>
      <rPr>
        <sz val="11"/>
        <color indexed="8"/>
        <rFont val="Arial"/>
      </rPr>
      <t>E0423003</t>
    </r>
  </si>
  <si>
    <r>
      <rPr>
        <sz val="11"/>
        <color indexed="8"/>
        <rFont val="Arial"/>
      </rPr>
      <t>Tarani V</t>
    </r>
  </si>
  <si>
    <t>SRET 2027 — Top 40 Selection Model</t>
  </si>
  <si>
    <t>Weight</t>
  </si>
  <si>
    <t>Value</t>
  </si>
  <si>
    <t>Test performance (PrepInsta)</t>
  </si>
  <si>
    <t>Class attendance</t>
  </si>
  <si>
    <t>Handpicked (classroom attitude)</t>
  </si>
  <si>
    <t>Check: total</t>
  </si>
  <si>
    <t>Inside the test score</t>
  </si>
  <si>
    <t>Skill (avg percentile rank on tests taken)</t>
  </si>
  <si>
    <t>Participation (tests taken)</t>
  </si>
  <si>
    <t>Selection size</t>
  </si>
  <si>
    <t>How each component is built</t>
  </si>
  <si>
    <t>Skill</t>
  </si>
  <si>
    <t>For each of the 52 PrepInsta tests (PI001–PI052), a student's score is converted to a percentile rank among the students who took that test, so hard and easy tests count equally. Averaged over tests taken, then pulled toward 50 by 5 "phantom" tests so a student with 5 lucky attempts does not outrank someone with 45 solid ones.</t>
  </si>
  <si>
    <t>Participation</t>
  </si>
  <si>
    <t>50% share of all 52 tests taken + 50% share of the 35 tests since 31 Aug (PI018 onward), so recent engagement counts more.</t>
  </si>
  <si>
    <t>Attendance</t>
  </si>
  <si>
    <t>Duration-weighted attendance % from the Master Attendance Tracker (data as of 29 Aug 2026 — later sessions are not in that file).</t>
  </si>
  <si>
    <t>1 if the student is on your classroom-attitude list (35 students), else 0. Worth 15 points out of 100 at the default weight.</t>
  </si>
  <si>
    <t>Final = wTest × TestScore + wAttendance × Attendance% + wHandpicked × 100 × Handpicked. Change the blue cells above and every rank and the Top 40 sheet update.</t>
  </si>
  <si>
    <t>Note</t>
  </si>
  <si>
    <t>Your list had Advaita as E0223008 and Athena as E0223009; the trackers have them the other way round (E0223008 = Athena Caleb, E0223009 = Advaita Suresh). Both are handpicked, so the result is unaffected. "Priya H" matched E0423030 Priyadharshini.H; "Tarini" = Tarani V; "Hashmitha" = S.H.ASHMITHA.</t>
  </si>
  <si>
    <t>Handpicked (1/0)</t>
  </si>
  <si>
    <t>Handpicked group</t>
  </si>
  <si>
    <t>Tests since 31 Aug /35</t>
  </si>
  <si>
    <t>Avg score % (tests taken)</t>
  </si>
  <si>
    <t>Skill (percentile, 0-100)</t>
  </si>
  <si>
    <t>Participation (0-100)</t>
  </si>
  <si>
    <t>Test score</t>
  </si>
  <si>
    <t>Top 40?</t>
  </si>
  <si>
    <t>Data-only rank</t>
  </si>
  <si>
    <t>Flags</t>
  </si>
  <si>
    <t>E0223008</t>
  </si>
  <si>
    <t>Athena Caleb</t>
  </si>
  <si>
    <t>B.Tech CSE-CSIOT</t>
  </si>
  <si>
    <t>CYBER</t>
  </si>
  <si>
    <t>Yes</t>
  </si>
  <si>
    <t>E0223003</t>
  </si>
  <si>
    <t>Shansita S</t>
  </si>
  <si>
    <t>E0223028</t>
  </si>
  <si>
    <t>Neelesh K</t>
  </si>
  <si>
    <t>E0223002</t>
  </si>
  <si>
    <t>Jacelyn Felcita J</t>
  </si>
  <si>
    <t>Top-15 on data but not handpicked</t>
  </si>
  <si>
    <t>E0223017</t>
  </si>
  <si>
    <t>Arjun V</t>
  </si>
  <si>
    <t>Only 18/52 tests taken; Mostly inactive on tests since 31 Aug (5/35)</t>
  </si>
  <si>
    <t>E0223011</t>
  </si>
  <si>
    <t>Yuvaraj R</t>
  </si>
  <si>
    <t>E0223006</t>
  </si>
  <si>
    <t>Naveen Sekhar</t>
  </si>
  <si>
    <t>Only 17/52 tests taken; Mostly inactive on tests since 31 Aug (6/35)</t>
  </si>
  <si>
    <t>E0223014</t>
  </si>
  <si>
    <t>Mehul V A</t>
  </si>
  <si>
    <t>Scores in bottom third of test-takers</t>
  </si>
  <si>
    <t>E0223009</t>
  </si>
  <si>
    <t>Advaita Suresh</t>
  </si>
  <si>
    <t>E0223020</t>
  </si>
  <si>
    <t>Rujita Balamurugan</t>
  </si>
  <si>
    <t>Class attendance 56%</t>
  </si>
  <si>
    <t>E0223016</t>
  </si>
  <si>
    <t>Kavin Mathi G R</t>
  </si>
  <si>
    <t>No</t>
  </si>
  <si>
    <t>E0223023</t>
  </si>
  <si>
    <t>Sethukannan M</t>
  </si>
  <si>
    <t>E0223027</t>
  </si>
  <si>
    <t>S S Yogalakshmi</t>
  </si>
  <si>
    <t>E0223013</t>
  </si>
  <si>
    <t>Harini S</t>
  </si>
  <si>
    <t>E0223007</t>
  </si>
  <si>
    <t>Midhun K</t>
  </si>
  <si>
    <t>Only 10/52 tests taken; Mostly inactive on tests since 31 Aug (3/35)</t>
  </si>
  <si>
    <t>E0223024</t>
  </si>
  <si>
    <t>Balaji S</t>
  </si>
  <si>
    <t>Only 14/52 tests taken; Mostly inactive on tests since 31 Aug (5/35); Scores in bottom third of test-takers</t>
  </si>
  <si>
    <t>E0223001</t>
  </si>
  <si>
    <t>Vignesh R</t>
  </si>
  <si>
    <t>Only 2/52 tests taken; Mostly inactive on tests since 31 Aug (0/35)</t>
  </si>
  <si>
    <t>E0223030</t>
  </si>
  <si>
    <t>Dharani S</t>
  </si>
  <si>
    <t>Only 10/52 tests taken</t>
  </si>
  <si>
    <t>E0223015</t>
  </si>
  <si>
    <t>Vimalraj P</t>
  </si>
  <si>
    <t>Only 11/52 tests taken; Mostly inactive on tests since 31 Aug (6/35); Scores in bottom third of test-takers</t>
  </si>
  <si>
    <t>E0223022</t>
  </si>
  <si>
    <t>Navadeep K M</t>
  </si>
  <si>
    <t>Only 8/52 tests taken; Mostly inactive on tests since 31 Aug (2/35); Class attendance 52%</t>
  </si>
  <si>
    <t>E0223019</t>
  </si>
  <si>
    <t>Mohammed Nasrullah M</t>
  </si>
  <si>
    <t>Only 0/52 tests taken; Mostly inactive on tests since 31 Aug (0/35)</t>
  </si>
  <si>
    <t>E0223029</t>
  </si>
  <si>
    <t>Vishal</t>
  </si>
  <si>
    <t>Only 0/52 tests taken; Mostly inactive on tests since 31 Aug (0/35); Class attendance 0%</t>
  </si>
  <si>
    <t>E0323011</t>
  </si>
  <si>
    <t>Nithish Kumar</t>
  </si>
  <si>
    <t>B.Tech CSE-AIDA</t>
  </si>
  <si>
    <t>AIDA</t>
  </si>
  <si>
    <t>E0323040</t>
  </si>
  <si>
    <t>DARSHAN V</t>
  </si>
  <si>
    <t>E0323029</t>
  </si>
  <si>
    <t>Ganesh K</t>
  </si>
  <si>
    <t>E0323048</t>
  </si>
  <si>
    <t>Tejaswini.R.J</t>
  </si>
  <si>
    <t>E0323009</t>
  </si>
  <si>
    <t>Varnika Ramesh</t>
  </si>
  <si>
    <t>E0323014</t>
  </si>
  <si>
    <t>Sharmila S</t>
  </si>
  <si>
    <t>Class attendance 60%</t>
  </si>
  <si>
    <t>E0323019</t>
  </si>
  <si>
    <t>SEJONE THOMAS FRANK</t>
  </si>
  <si>
    <t>E0323043</t>
  </si>
  <si>
    <t>VEDHASRI K</t>
  </si>
  <si>
    <t>E0323026</t>
  </si>
  <si>
    <t>Madhu shree.D</t>
  </si>
  <si>
    <t>E0323015</t>
  </si>
  <si>
    <t>Yokesh kannan R</t>
  </si>
  <si>
    <t>E0323045</t>
  </si>
  <si>
    <t>T.kumaraguru</t>
  </si>
  <si>
    <t>E0323012</t>
  </si>
  <si>
    <t>Anu D</t>
  </si>
  <si>
    <t>E0323022</t>
  </si>
  <si>
    <t>S.Lokesh krishna</t>
  </si>
  <si>
    <t>E0323024</t>
  </si>
  <si>
    <t>Jaswant raj GV</t>
  </si>
  <si>
    <t>E0323042</t>
  </si>
  <si>
    <t>Dejhovathiyan S</t>
  </si>
  <si>
    <t>E0323039</t>
  </si>
  <si>
    <t>Divakar V</t>
  </si>
  <si>
    <t>Only 13/52 tests taken; Mostly inactive on tests since 31 Aug (4/35)</t>
  </si>
  <si>
    <t>E0323030</t>
  </si>
  <si>
    <t>Ajith Jayya Surya.E</t>
  </si>
  <si>
    <t>Only 16/52 tests taken; Mostly inactive on tests since 31 Aug (3/35)</t>
  </si>
  <si>
    <t>E0323008</t>
  </si>
  <si>
    <t>Mohammad Tameem</t>
  </si>
  <si>
    <t>E0323051</t>
  </si>
  <si>
    <t>Ravinivasan G P</t>
  </si>
  <si>
    <t>Only 13/52 tests taken</t>
  </si>
  <si>
    <t>E0323028</t>
  </si>
  <si>
    <t>D Sai Shruthi</t>
  </si>
  <si>
    <t>Only 8/52 tests taken; Mostly inactive on tests since 31 Aug (0/35)</t>
  </si>
  <si>
    <t>E0323046</t>
  </si>
  <si>
    <t>ManojNaik.A</t>
  </si>
  <si>
    <t>Only 12/52 tests taken; Mostly inactive on tests since 31 Aug (3/35)</t>
  </si>
  <si>
    <t>E0323055</t>
  </si>
  <si>
    <t>Bavya S</t>
  </si>
  <si>
    <t>E0323005</t>
  </si>
  <si>
    <t>Saranyaa Murali</t>
  </si>
  <si>
    <t>Only 15/52 tests taken</t>
  </si>
  <si>
    <t>E0323035</t>
  </si>
  <si>
    <t>Oorakathan R</t>
  </si>
  <si>
    <t>Only 4/52 tests taken; Mostly inactive on tests since 31 Aug (0/35); Scores in bottom third of test-takers</t>
  </si>
  <si>
    <t>E0323047</t>
  </si>
  <si>
    <t>Prassanna Srinivass S U</t>
  </si>
  <si>
    <t>Only 3/52 tests taken; Mostly inactive on tests since 31 Aug (2/35)</t>
  </si>
  <si>
    <t>E0323006</t>
  </si>
  <si>
    <t>Shyam Parthiv D</t>
  </si>
  <si>
    <t>Class attendance 52%; Scores in bottom third of test-takers</t>
  </si>
  <si>
    <t>E0323027</t>
  </si>
  <si>
    <t>Preethi</t>
  </si>
  <si>
    <t>Only 4/52 tests taken; Mostly inactive on tests since 31 Aug (4/35); Class attendance 52%</t>
  </si>
  <si>
    <t>E0323017</t>
  </si>
  <si>
    <t>MOHAMED ASHIQ IQBAL</t>
  </si>
  <si>
    <t>Class attendance 40%</t>
  </si>
  <si>
    <t>E0323001</t>
  </si>
  <si>
    <t>SANTHOSH G</t>
  </si>
  <si>
    <t>Only 9/52 tests taken; Mostly inactive on tests since 31 Aug (3/35); Scores in bottom third of test-takers</t>
  </si>
  <si>
    <t>E0323057</t>
  </si>
  <si>
    <t>Amirta Varsan R</t>
  </si>
  <si>
    <t>Only 7/52 tests taken; Mostly inactive on tests since 31 Aug (0/35); Class attendance 52%</t>
  </si>
  <si>
    <t>E0323004</t>
  </si>
  <si>
    <t>Hareeshwaran</t>
  </si>
  <si>
    <t>Only 4/52 tests taken; Mostly inactive on tests since 31 Aug (0/35); Class attendance 64%; Scores in bottom third of test-takers</t>
  </si>
  <si>
    <t>E0323016</t>
  </si>
  <si>
    <t>Ritteeka</t>
  </si>
  <si>
    <t>Only 2/52 tests taken; Mostly inactive on tests since 31 Aug (0/35); Class attendance 60%; Scores in bottom third of test-takers</t>
  </si>
  <si>
    <t>E0323025</t>
  </si>
  <si>
    <t>Logan kavishaan</t>
  </si>
  <si>
    <t>Only 7/52 tests taken; Mostly inactive on tests since 31 Aug (4/35); Class attendance 43%; Scores in bottom third of test-takers</t>
  </si>
  <si>
    <t>E0323033</t>
  </si>
  <si>
    <t>N S Dheepak Shakthi</t>
  </si>
  <si>
    <t>E0323053</t>
  </si>
  <si>
    <t>Shyam Ganesh S</t>
  </si>
  <si>
    <t>Only 0/52 tests taken; Mostly inactive on tests since 31 Aug (0/35); Class attendance 62%</t>
  </si>
  <si>
    <t>E0323034</t>
  </si>
  <si>
    <t>Guru Charan</t>
  </si>
  <si>
    <t>Only 0/52 tests taken; Mostly inactive on tests since 31 Aug (0/35); Class attendance 58%</t>
  </si>
  <si>
    <t>E0323054</t>
  </si>
  <si>
    <t>Bharatraj B</t>
  </si>
  <si>
    <t>Only 0/52 tests taken; Mostly inactive on tests since 31 Aug (0/35); Class attendance 5%</t>
  </si>
  <si>
    <t>E0123034</t>
  </si>
  <si>
    <t>Dhanuja Vidya T</t>
  </si>
  <si>
    <t>B.Tech CSE-AIML</t>
  </si>
  <si>
    <t>AIML</t>
  </si>
  <si>
    <t>E0123021</t>
  </si>
  <si>
    <t>Koshree V</t>
  </si>
  <si>
    <t>E0123049</t>
  </si>
  <si>
    <t>Srinath A</t>
  </si>
  <si>
    <t>E0123015</t>
  </si>
  <si>
    <t>Leela Nandha Kishore K S</t>
  </si>
  <si>
    <t>Only 17/52 tests taken</t>
  </si>
  <si>
    <t>E0123007</t>
  </si>
  <si>
    <t>GOKUL B</t>
  </si>
  <si>
    <t>E0123028</t>
  </si>
  <si>
    <t>G. Tanya Sri</t>
  </si>
  <si>
    <t>E0123013</t>
  </si>
  <si>
    <t>ABEEJAY M</t>
  </si>
  <si>
    <t>Only 5/52 tests taken; Mostly inactive on tests since 31 Aug (3/35)</t>
  </si>
  <si>
    <t>E0123043</t>
  </si>
  <si>
    <t>Riya Vinod</t>
  </si>
  <si>
    <t>E0123001</t>
  </si>
  <si>
    <t>Harisundar.R</t>
  </si>
  <si>
    <t>Only 11/52 tests taken; Mostly inactive on tests since 31 Aug (0/35)</t>
  </si>
  <si>
    <t>E0123011</t>
  </si>
  <si>
    <t>Abirami k</t>
  </si>
  <si>
    <t>E0123026</t>
  </si>
  <si>
    <t>Aakash N</t>
  </si>
  <si>
    <t>Only 16/52 tests taken; Scores in bottom third of test-takers</t>
  </si>
  <si>
    <t>E0123008</t>
  </si>
  <si>
    <t>MOHAMED JASMIR</t>
  </si>
  <si>
    <t>Only 17/52 tests taken; Class attendance 60%</t>
  </si>
  <si>
    <t>E0123047</t>
  </si>
  <si>
    <t>LOKESHWARAN S</t>
  </si>
  <si>
    <t>E0123030</t>
  </si>
  <si>
    <t>G.Tharanya</t>
  </si>
  <si>
    <t>E0123004</t>
  </si>
  <si>
    <t>Madheshkumar A</t>
  </si>
  <si>
    <t>Only 16/52 tests taken</t>
  </si>
  <si>
    <t>E0123009</t>
  </si>
  <si>
    <t>SAKTHI R</t>
  </si>
  <si>
    <t>Only 13/52 tests taken; Mostly inactive on tests since 31 Aug (5/35); Scores in bottom third of test-takers</t>
  </si>
  <si>
    <t>E0123014</t>
  </si>
  <si>
    <t>Keerthishree K</t>
  </si>
  <si>
    <t>E0123042</t>
  </si>
  <si>
    <t>Hariharan A</t>
  </si>
  <si>
    <t>E0123019</t>
  </si>
  <si>
    <t>ASHIKA S</t>
  </si>
  <si>
    <t>Class attendance 49%</t>
  </si>
  <si>
    <t>E0123044</t>
  </si>
  <si>
    <t>Jovin Kester. K</t>
  </si>
  <si>
    <t>E0123035</t>
  </si>
  <si>
    <t>Sowdeepya Reddy I</t>
  </si>
  <si>
    <t>E0123037</t>
  </si>
  <si>
    <t>Muhammed Suhail M M</t>
  </si>
  <si>
    <t>Only 8/52 tests taken; Mostly inactive on tests since 31 Aug (6/35)</t>
  </si>
  <si>
    <t>E0123003</t>
  </si>
  <si>
    <t>Nivedh manoj</t>
  </si>
  <si>
    <t>Only 17/52 tests taken; Class attendance 30%</t>
  </si>
  <si>
    <t>E0123046</t>
  </si>
  <si>
    <t>AKSHAYA TARINI A R</t>
  </si>
  <si>
    <t>Only 10/52 tests taken; Mostly inactive on tests since 31 Aug (5/35)</t>
  </si>
  <si>
    <t>E0123201</t>
  </si>
  <si>
    <t>Madhana Harish V</t>
  </si>
  <si>
    <t>E0123022</t>
  </si>
  <si>
    <t>Ashwin S</t>
  </si>
  <si>
    <t>Only 1/52 tests taken; Mostly inactive on tests since 31 Aug (0/35)</t>
  </si>
  <si>
    <t>E0123033</t>
  </si>
  <si>
    <t>Mano.M</t>
  </si>
  <si>
    <t>Only 11/52 tests taken</t>
  </si>
  <si>
    <t>E0123010</t>
  </si>
  <si>
    <t>Abishek TJ</t>
  </si>
  <si>
    <t>Only 12/52 tests taken; Mostly inactive on tests since 31 Aug (3/35); Class attendance 52%</t>
  </si>
  <si>
    <t>E0123038</t>
  </si>
  <si>
    <t>K MUGESH</t>
  </si>
  <si>
    <t>Only 4/52 tests taken; Mostly inactive on tests since 31 Aug (2/35); Class attendance 60%</t>
  </si>
  <si>
    <t>E0123016</t>
  </si>
  <si>
    <t>Raagavendran Sundar</t>
  </si>
  <si>
    <t>Only 1/52 tests taken; Mostly inactive on tests since 31 Aug (0/35); Class attendance 58%</t>
  </si>
  <si>
    <t>E0123051</t>
  </si>
  <si>
    <t>ADLIN VIBEESH V A</t>
  </si>
  <si>
    <t>Only 1/52 tests taken; Mostly inactive on tests since 31 Aug (0/35); Class attendance 52%</t>
  </si>
  <si>
    <t>E0123020</t>
  </si>
  <si>
    <t>Roshan Sanjay D</t>
  </si>
  <si>
    <t>Only 5/52 tests taken; Mostly inactive on tests since 31 Aug (2/35); Class attendance 44%; Scores in bottom third of test-takers</t>
  </si>
  <si>
    <t>E0123029</t>
  </si>
  <si>
    <t>M.KRISHNA</t>
  </si>
  <si>
    <t>Only 9/52 tests taken; Mostly inactive on tests since 31 Aug (0/35); Class attendance 11%</t>
  </si>
  <si>
    <t>E0123006</t>
  </si>
  <si>
    <t>TARUN RD</t>
  </si>
  <si>
    <t>Only 1/52 tests taken; Mostly inactive on tests since 31 Aug (0/35); Class attendance 29%</t>
  </si>
  <si>
    <t>E0123024</t>
  </si>
  <si>
    <t>Shibi Shrivatsav</t>
  </si>
  <si>
    <t>Only 0/52 tests taken; Mostly inactive on tests since 31 Aug (0/35); Class attendance 51%</t>
  </si>
  <si>
    <t>E0123031</t>
  </si>
  <si>
    <t>Mohamed Haris</t>
  </si>
  <si>
    <t>Only 0/52 tests taken; Mostly inactive on tests since 31 Aug (0/35); Class attendance 45%</t>
  </si>
  <si>
    <t>E0123052</t>
  </si>
  <si>
    <t>Benjamin S</t>
  </si>
  <si>
    <t>Only 0/52 tests taken; Mostly inactive on tests since 31 Aug (0/35); Class attendance 12%</t>
  </si>
  <si>
    <t>E0423030</t>
  </si>
  <si>
    <t>Priyadharshini.H</t>
  </si>
  <si>
    <t>B.Tech CSME-AIDA</t>
  </si>
  <si>
    <t>MED</t>
  </si>
  <si>
    <t>E0423002</t>
  </si>
  <si>
    <t>Nikhilesh</t>
  </si>
  <si>
    <t>E0423028</t>
  </si>
  <si>
    <t>Prasanna T</t>
  </si>
  <si>
    <t>E0423006</t>
  </si>
  <si>
    <t>B Priyadarshini</t>
  </si>
  <si>
    <t>E0423008</t>
  </si>
  <si>
    <t>S.H.ASHMITHA</t>
  </si>
  <si>
    <t>Class attendance 55%</t>
  </si>
  <si>
    <t>E0423036</t>
  </si>
  <si>
    <t>Nithisha</t>
  </si>
  <si>
    <t>E0423015</t>
  </si>
  <si>
    <t>PRIYANKA K</t>
  </si>
  <si>
    <t>E0423017</t>
  </si>
  <si>
    <t>Parithy M</t>
  </si>
  <si>
    <t>E0423023</t>
  </si>
  <si>
    <t>Akshaya</t>
  </si>
  <si>
    <t>E0423031</t>
  </si>
  <si>
    <t>Aakarshana R</t>
  </si>
  <si>
    <t>E0423003</t>
  </si>
  <si>
    <t>Tarani V</t>
  </si>
  <si>
    <t>E0423020</t>
  </si>
  <si>
    <t>Sairam R</t>
  </si>
  <si>
    <t>E0423021</t>
  </si>
  <si>
    <t>Abijith U K</t>
  </si>
  <si>
    <t>E0423014</t>
  </si>
  <si>
    <t>Riyaz prem K</t>
  </si>
  <si>
    <t>E0423026</t>
  </si>
  <si>
    <t>TANVI.G</t>
  </si>
  <si>
    <t>E0423027</t>
  </si>
  <si>
    <t>Sandeep Srinivasan S</t>
  </si>
  <si>
    <t>Class attendance 41%</t>
  </si>
  <si>
    <t>E0423022</t>
  </si>
  <si>
    <t>Tarunya S</t>
  </si>
  <si>
    <t>E0423037</t>
  </si>
  <si>
    <t>Evanglin Pradeena R</t>
  </si>
  <si>
    <t>Class attendance 52%</t>
  </si>
  <si>
    <t>E0423033</t>
  </si>
  <si>
    <t>Srimitha</t>
  </si>
  <si>
    <t>Class attendance 37%</t>
  </si>
  <si>
    <t>E0423024</t>
  </si>
  <si>
    <t>Syeda Sadia Fathima</t>
  </si>
  <si>
    <t>E0423038</t>
  </si>
  <si>
    <t>Aarthy Shree.R</t>
  </si>
  <si>
    <t>Only 14/52 tests taken; Mostly inactive on tests since 31 Aug (3/35)</t>
  </si>
  <si>
    <t>E0423034</t>
  </si>
  <si>
    <t>mohammed rayyan sheriff</t>
  </si>
  <si>
    <t>E0423001</t>
  </si>
  <si>
    <t>Ritvik L</t>
  </si>
  <si>
    <t>Only 0/52 tests taken; Mostly inactive on tests since 31 Aug (0/35); Class attendance 34%</t>
  </si>
  <si>
    <t>E6124005</t>
  </si>
  <si>
    <t>ARUL S</t>
  </si>
  <si>
    <t>Bio Informatics</t>
  </si>
  <si>
    <t>Bio Info</t>
  </si>
  <si>
    <t>Class attendance 60%; Scores in bottom third of test-takers</t>
  </si>
  <si>
    <t>E6124018</t>
  </si>
  <si>
    <t>YAZHINI A</t>
  </si>
  <si>
    <t>Class attendance 59%; Scores in bottom third of test-takers</t>
  </si>
  <si>
    <t>E6124001</t>
  </si>
  <si>
    <t>R R SANJANA</t>
  </si>
  <si>
    <t>Only 17/52 tests taken; Class attendance 60%; Scores in bottom third of test-takers</t>
  </si>
  <si>
    <t>E6124021</t>
  </si>
  <si>
    <t>Priyanka G T</t>
  </si>
  <si>
    <t>Only 11/52 tests taken; Mostly inactive on tests since 31 Aug (3/35); Class attendance 60%; Scores in bottom third of test-takers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</si>
</sst>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4"/>
      <color indexed="8"/>
      <name val="Arial"/>
    </font>
    <font>
      <sz val="11"/>
      <color indexed="11"/>
      <name val="Arial"/>
    </font>
    <font>
      <sz val="11"/>
      <color indexed="9"/>
      <name val="Arial"/>
    </font>
    <font>
      <sz val="11"/>
      <color indexed="8"/>
      <name val="Arial"/>
    </font>
    <font>
      <sz val="11"/>
      <color indexed="14"/>
      <name val="Arial"/>
    </font>
    <font>
      <b val="1"/>
      <sz val="11"/>
      <color indexed="9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1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3"/>
      </bottom>
      <diagonal/>
    </border>
    <border>
      <left style="thin">
        <color indexed="10"/>
      </left>
      <right style="thin">
        <color indexed="10"/>
      </right>
      <top style="thin">
        <color indexed="13"/>
      </top>
      <bottom style="thin">
        <color indexed="13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5" fillId="3" borderId="3" applyNumberFormat="1" applyFont="1" applyFill="1" applyBorder="1" applyAlignment="1" applyProtection="0">
      <alignment horizontal="center" vertical="center" wrapText="1"/>
    </xf>
    <xf numFmtId="49" fontId="5" fillId="3" borderId="4" applyNumberFormat="1" applyFont="1" applyFill="1" applyBorder="1" applyAlignment="1" applyProtection="0">
      <alignment horizontal="center" vertical="center" wrapText="1"/>
    </xf>
    <xf numFmtId="49" fontId="5" fillId="3" borderId="5" applyNumberFormat="1" applyFont="1" applyFill="1" applyBorder="1" applyAlignment="1" applyProtection="0">
      <alignment horizontal="center" vertical="center" wrapText="1"/>
    </xf>
    <xf numFmtId="1" fontId="6" fillId="2" borderId="6" applyNumberFormat="1" applyFont="1" applyFill="1" applyBorder="1" applyAlignment="1" applyProtection="0">
      <alignment vertical="bottom"/>
    </xf>
    <xf numFmtId="0" fontId="6" fillId="2" borderId="6" applyNumberFormat="0" applyFont="1" applyFill="1" applyBorder="1" applyAlignment="1" applyProtection="0">
      <alignment vertical="bottom"/>
    </xf>
    <xf numFmtId="59" fontId="6" fillId="2" borderId="6" applyNumberFormat="1" applyFont="1" applyFill="1" applyBorder="1" applyAlignment="1" applyProtection="0">
      <alignment vertical="bottom"/>
    </xf>
    <xf numFmtId="0" fontId="6" fillId="2" borderId="6" applyNumberFormat="0" applyFont="1" applyFill="1" applyBorder="1" applyAlignment="1" applyProtection="0">
      <alignment vertical="bottom" wrapText="1"/>
    </xf>
    <xf numFmtId="1" fontId="6" fillId="2" borderId="7" applyNumberFormat="1" applyFont="1" applyFill="1" applyBorder="1" applyAlignment="1" applyProtection="0">
      <alignment vertical="bottom"/>
    </xf>
    <xf numFmtId="0" fontId="6" fillId="2" borderId="7" applyNumberFormat="0" applyFont="1" applyFill="1" applyBorder="1" applyAlignment="1" applyProtection="0">
      <alignment vertical="bottom"/>
    </xf>
    <xf numFmtId="59" fontId="6" fillId="2" borderId="7" applyNumberFormat="1" applyFont="1" applyFill="1" applyBorder="1" applyAlignment="1" applyProtection="0">
      <alignment vertical="bottom"/>
    </xf>
    <xf numFmtId="0" fontId="6" fillId="2" borderId="7" applyNumberFormat="0" applyFont="1" applyFill="1" applyBorder="1" applyAlignment="1" applyProtection="0">
      <alignment vertical="bottom" wrapText="1"/>
    </xf>
    <xf numFmtId="0" fontId="0" applyNumberFormat="1" applyFont="1" applyFill="0" applyBorder="0" applyAlignment="1" applyProtection="0">
      <alignment vertical="bottom"/>
    </xf>
    <xf numFmtId="1" fontId="6" fillId="2" borderId="1" applyNumberFormat="1" applyFont="1" applyFill="1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1" fontId="6" fillId="2" borderId="2" applyNumberFormat="1" applyFont="1" applyFill="1" applyBorder="1" applyAlignment="1" applyProtection="0">
      <alignment vertical="bottom"/>
    </xf>
    <xf numFmtId="49" fontId="5" fillId="3" borderId="3" applyNumberFormat="1" applyFont="1" applyFill="1" applyBorder="1" applyAlignment="1" applyProtection="0">
      <alignment vertical="bottom"/>
    </xf>
    <xf numFmtId="49" fontId="5" fillId="3" borderId="4" applyNumberFormat="1" applyFont="1" applyFill="1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6" fillId="2" borderId="9" applyNumberFormat="1" applyFont="1" applyFill="1" applyBorder="1" applyAlignment="1" applyProtection="0">
      <alignment vertical="bottom"/>
    </xf>
    <xf numFmtId="9" fontId="7" fillId="4" borderId="4" applyNumberFormat="1" applyFont="1" applyFill="1" applyBorder="1" applyAlignment="1" applyProtection="0">
      <alignment vertical="bottom"/>
    </xf>
    <xf numFmtId="49" fontId="6" fillId="2" borderId="10" applyNumberFormat="1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vertical="bottom"/>
    </xf>
    <xf numFmtId="9" fontId="6" fillId="2" borderId="11" applyNumberFormat="1" applyFont="1" applyFill="1" applyBorder="1" applyAlignment="1" applyProtection="0">
      <alignment vertical="bottom"/>
    </xf>
    <xf numFmtId="1" fontId="6" fillId="2" borderId="12" applyNumberFormat="1" applyFont="1" applyFill="1" applyBorder="1" applyAlignment="1" applyProtection="0">
      <alignment vertical="bottom"/>
    </xf>
    <xf numFmtId="1" fontId="7" fillId="4" borderId="4" applyNumberFormat="1" applyFont="1" applyFill="1" applyBorder="1" applyAlignment="1" applyProtection="0">
      <alignment vertical="bottom"/>
    </xf>
    <xf numFmtId="1" fontId="6" fillId="2" borderId="11" applyNumberFormat="1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vertical="top"/>
    </xf>
    <xf numFmtId="49" fontId="6" fillId="2" borderId="1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bottom"/>
    </xf>
    <xf numFmtId="49" fontId="8" fillId="3" borderId="1" applyNumberFormat="1" applyFont="1" applyFill="1" applyBorder="1" applyAlignment="1" applyProtection="0">
      <alignment horizontal="center" vertical="center" wrapText="1"/>
    </xf>
    <xf numFmtId="59" fontId="6" fillId="2" borderId="1" applyNumberFormat="1" applyFont="1" applyFill="1" applyBorder="1" applyAlignment="1" applyProtection="0">
      <alignment vertical="bottom"/>
    </xf>
    <xf numFmtId="0" fontId="6" fillId="2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95959"/>
      <rgbColor rgb="ff1f3864"/>
      <rgbColor rgb="ffbfbfbf"/>
      <rgbColor rgb="ff0000ff"/>
      <rgbColor rgb="fffff2c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44"/>
  <sheetViews>
    <sheetView workbookViewId="0" showGridLines="0" defaultGridColor="1"/>
  </sheetViews>
  <sheetFormatPr defaultColWidth="8.66667" defaultRowHeight="15" customHeight="1" outlineLevelRow="0" outlineLevelCol="0"/>
  <cols>
    <col min="1" max="1" width="6" style="1" customWidth="1"/>
    <col min="2" max="2" width="11" style="1" customWidth="1"/>
    <col min="3" max="3" width="26" style="1" customWidth="1"/>
    <col min="4" max="4" width="18" style="1" customWidth="1"/>
    <col min="5" max="5" width="15" style="1" customWidth="1"/>
    <col min="6" max="7" width="10" style="1" customWidth="1"/>
    <col min="8" max="8" width="11" style="1" customWidth="1"/>
    <col min="9" max="9" width="10" style="1" customWidth="1"/>
    <col min="10" max="10" width="55" style="1" customWidth="1"/>
    <col min="11" max="16384" width="8.67188" style="1" customWidth="1"/>
  </cols>
  <sheetData>
    <row r="1" ht="18.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3"/>
    </row>
    <row r="2" ht="14.6" customHeight="1">
      <c r="A2" t="s" s="4">
        <v>1</v>
      </c>
      <c r="B2" s="3"/>
      <c r="C2" s="3"/>
      <c r="D2" s="3"/>
      <c r="E2" s="3"/>
      <c r="F2" s="3"/>
      <c r="G2" s="3"/>
      <c r="H2" s="3"/>
      <c r="I2" s="3"/>
      <c r="J2" s="3"/>
    </row>
    <row r="3" ht="13.55" customHeight="1">
      <c r="A3" s="5"/>
      <c r="B3" s="5"/>
      <c r="C3" s="5"/>
      <c r="D3" s="5"/>
      <c r="E3" s="5"/>
      <c r="F3" s="5"/>
      <c r="G3" s="5"/>
      <c r="H3" s="5"/>
      <c r="I3" s="5"/>
      <c r="J3" s="5"/>
    </row>
    <row r="4" ht="31.5" customHeight="1">
      <c r="A4" t="s" s="6">
        <v>2</v>
      </c>
      <c r="B4" t="s" s="7">
        <v>3</v>
      </c>
      <c r="C4" t="s" s="7">
        <v>4</v>
      </c>
      <c r="D4" t="s" s="7">
        <v>5</v>
      </c>
      <c r="E4" t="s" s="7">
        <v>6</v>
      </c>
      <c r="F4" t="s" s="7">
        <v>7</v>
      </c>
      <c r="G4" t="s" s="7">
        <v>8</v>
      </c>
      <c r="H4" t="s" s="7">
        <v>9</v>
      </c>
      <c r="I4" t="s" s="7">
        <v>10</v>
      </c>
      <c r="J4" t="s" s="8">
        <v>11</v>
      </c>
    </row>
    <row r="5" ht="14.6" customHeight="1">
      <c r="A5" s="9">
        <v>1</v>
      </c>
      <c r="B5" t="str" s="10" cm="1">
        <f t="array" ref="B5">INDEX('All Students'!$A$2:$A$124,MATCH($A5,'All Students'!$N$2:$N$124,0))</f>
        <v>E0223008</v>
      </c>
      <c r="C5" t="str" s="10" cm="1">
        <f t="array" ref="C5">INDEX('All Students'!$B$2:$B$124,MATCH($A5,'All Students'!$N$2:$N$124,0))</f>
        <v>Athena Caleb</v>
      </c>
      <c r="D5" t="str" s="10" cm="1">
        <f t="array" ref="D5">INDEX('All Students'!$C$2:$C$124,MATCH($A5,'All Students'!$N$2:$N$124,0))</f>
        <v>B.Tech CSE-CSIOT</v>
      </c>
      <c r="E5" t="str" s="10" cm="1">
        <f t="array" ref="E5">IF(INDEX('All Students'!$D$2:$D$124,MATCH($A5,'All Students'!$N$2:$N$124,0))=1,INDEX('All Students'!$E$2:$E$124,MATCH($A5,'All Students'!$N$2:$N$124,0)),"No — data pick")</f>
        <v>CYBER</v>
      </c>
      <c r="F5" s="9" cm="1">
        <f t="array" ref="F5">INDEX('All Students'!$F$2:$F$124,MATCH($A5,'All Students'!$N$2:$N$124,0))</f>
        <v>48</v>
      </c>
      <c r="G5" s="11" cm="1">
        <f t="array" ref="G5">INDEX('All Students'!$H$2:$H$124,MATCH($A5,'All Students'!$N$2:$N$124,0))</f>
        <v>91.5</v>
      </c>
      <c r="H5" s="11" cm="1">
        <f t="array" ref="H5">INDEX('All Students'!$L$2:$L$124,MATCH($A5,'All Students'!$N$2:$N$124,0))</f>
        <v>94.5</v>
      </c>
      <c r="I5" s="11" cm="1">
        <f t="array" ref="I5">INDEX('All Students'!$M$2:$M$124,MATCH($A5,'All Students'!$N$2:$N$124,0))</f>
        <v>85.095</v>
      </c>
      <c r="J5" t="str" s="12" cm="1">
        <f t="array" ref="J5">IF(INDEX('All Students'!$Q$2:$Q$124,MATCH($A5,'All Students'!$N$2:$N$124,0))="","",INDEX('All Students'!$Q$2:$Q$124,MATCH($A5,'All Students'!$N$2:$N$124,0)))</f>
      </c>
    </row>
    <row r="6" ht="14.6" customHeight="1">
      <c r="A6" s="13">
        <v>2</v>
      </c>
      <c r="B6" t="str" s="14" cm="1">
        <f t="array" ref="B6">INDEX('All Students'!$A$2:$A$124,MATCH($A6,'All Students'!$N$2:$N$124,0))</f>
        <v>E0223003</v>
      </c>
      <c r="C6" t="str" s="14" cm="1">
        <f t="array" ref="C6">INDEX('All Students'!$B$2:$B$124,MATCH($A6,'All Students'!$N$2:$N$124,0))</f>
        <v>Shansita S</v>
      </c>
      <c r="D6" t="str" s="14" cm="1">
        <f t="array" ref="D6">INDEX('All Students'!$C$2:$C$124,MATCH($A6,'All Students'!$N$2:$N$124,0))</f>
        <v>B.Tech CSE-CSIOT</v>
      </c>
      <c r="E6" t="str" s="14" cm="1">
        <f t="array" ref="E6">IF(INDEX('All Students'!$D$2:$D$124,MATCH($A6,'All Students'!$N$2:$N$124,0))=1,INDEX('All Students'!$E$2:$E$124,MATCH($A6,'All Students'!$N$2:$N$124,0)),"No — data pick")</f>
        <v>CYBER</v>
      </c>
      <c r="F6" s="13" cm="1">
        <f t="array" ref="F6">INDEX('All Students'!$F$2:$F$124,MATCH($A6,'All Students'!$N$2:$N$124,0))</f>
        <v>44</v>
      </c>
      <c r="G6" s="15" cm="1">
        <f t="array" ref="G6">INDEX('All Students'!$H$2:$H$124,MATCH($A6,'All Students'!$N$2:$N$124,0))</f>
        <v>85</v>
      </c>
      <c r="H6" s="15" cm="1">
        <f t="array" ref="H6">INDEX('All Students'!$L$2:$L$124,MATCH($A6,'All Students'!$N$2:$N$124,0))</f>
        <v>93.5</v>
      </c>
      <c r="I6" s="15" cm="1">
        <f t="array" ref="I6">INDEX('All Students'!$M$2:$M$124,MATCH($A6,'All Students'!$N$2:$N$124,0))</f>
        <v>80.758</v>
      </c>
      <c r="J6" t="str" s="16" cm="1">
        <f t="array" ref="J6">IF(INDEX('All Students'!$Q$2:$Q$124,MATCH($A6,'All Students'!$N$2:$N$124,0))="","",INDEX('All Students'!$Q$2:$Q$124,MATCH($A6,'All Students'!$N$2:$N$124,0)))</f>
      </c>
    </row>
    <row r="7" ht="14.6" customHeight="1">
      <c r="A7" s="13">
        <v>3</v>
      </c>
      <c r="B7" t="str" s="14" cm="1">
        <f t="array" ref="B7">INDEX('All Students'!$A$2:$A$124,MATCH($A7,'All Students'!$N$2:$N$124,0))</f>
        <v>E0323011</v>
      </c>
      <c r="C7" t="str" s="14" cm="1">
        <f t="array" ref="C7">INDEX('All Students'!$B$2:$B$124,MATCH($A7,'All Students'!$N$2:$N$124,0))</f>
        <v>Nithish Kumar</v>
      </c>
      <c r="D7" t="str" s="14" cm="1">
        <f t="array" ref="D7">INDEX('All Students'!$C$2:$C$124,MATCH($A7,'All Students'!$N$2:$N$124,0))</f>
        <v>B.Tech CSE-AIDA</v>
      </c>
      <c r="E7" t="str" s="14" cm="1">
        <f t="array" ref="E7">IF(INDEX('All Students'!$D$2:$D$124,MATCH($A7,'All Students'!$N$2:$N$124,0))=1,INDEX('All Students'!$E$2:$E$124,MATCH($A7,'All Students'!$N$2:$N$124,0)),"No — data pick")</f>
        <v>AIDA</v>
      </c>
      <c r="F7" s="13" cm="1">
        <f t="array" ref="F7">INDEX('All Students'!$F$2:$F$124,MATCH($A7,'All Students'!$N$2:$N$124,0))</f>
        <v>45</v>
      </c>
      <c r="G7" s="15" cm="1">
        <f t="array" ref="G7">INDEX('All Students'!$H$2:$H$124,MATCH($A7,'All Students'!$N$2:$N$124,0))</f>
        <v>87.40000000000001</v>
      </c>
      <c r="H7" s="15" cm="1">
        <f t="array" ref="H7">INDEX('All Students'!$L$2:$L$124,MATCH($A7,'All Students'!$N$2:$N$124,0))</f>
        <v>77.90000000000001</v>
      </c>
      <c r="I7" s="15" cm="1">
        <f t="array" ref="I7">INDEX('All Students'!$M$2:$M$124,MATCH($A7,'All Students'!$N$2:$N$124,0))</f>
        <v>77.77200000000001</v>
      </c>
      <c r="J7" t="str" s="16" cm="1">
        <f t="array" ref="J7">IF(INDEX('All Students'!$Q$2:$Q$124,MATCH($A7,'All Students'!$N$2:$N$124,0))="","",INDEX('All Students'!$Q$2:$Q$124,MATCH($A7,'All Students'!$N$2:$N$124,0)))</f>
      </c>
    </row>
    <row r="8" ht="14.6" customHeight="1">
      <c r="A8" s="13">
        <v>4</v>
      </c>
      <c r="B8" t="str" s="14" cm="1">
        <f t="array" ref="B8">INDEX('All Students'!$A$2:$A$124,MATCH($A8,'All Students'!$N$2:$N$124,0))</f>
        <v>E0123034</v>
      </c>
      <c r="C8" t="str" s="14" cm="1">
        <f t="array" ref="C8">INDEX('All Students'!$B$2:$B$124,MATCH($A8,'All Students'!$N$2:$N$124,0))</f>
        <v>Dhanuja Vidya T</v>
      </c>
      <c r="D8" t="str" s="14" cm="1">
        <f t="array" ref="D8">INDEX('All Students'!$C$2:$C$124,MATCH($A8,'All Students'!$N$2:$N$124,0))</f>
        <v>B.Tech CSE-AIML</v>
      </c>
      <c r="E8" t="str" s="14" cm="1">
        <f t="array" ref="E8">IF(INDEX('All Students'!$D$2:$D$124,MATCH($A8,'All Students'!$N$2:$N$124,0))=1,INDEX('All Students'!$E$2:$E$124,MATCH($A8,'All Students'!$N$2:$N$124,0)),"No — data pick")</f>
        <v>AIML</v>
      </c>
      <c r="F8" s="13" cm="1">
        <f t="array" ref="F8">INDEX('All Students'!$F$2:$F$124,MATCH($A8,'All Students'!$N$2:$N$124,0))</f>
        <v>34</v>
      </c>
      <c r="G8" s="15" cm="1">
        <f t="array" ref="G8">INDEX('All Students'!$H$2:$H$124,MATCH($A8,'All Students'!$N$2:$N$124,0))</f>
        <v>82.5</v>
      </c>
      <c r="H8" s="15" cm="1">
        <f t="array" ref="H8">INDEX('All Students'!$L$2:$L$124,MATCH($A8,'All Students'!$N$2:$N$124,0))</f>
        <v>100</v>
      </c>
      <c r="I8" s="15" cm="1">
        <f t="array" ref="I8">INDEX('All Students'!$M$2:$M$124,MATCH($A8,'All Students'!$N$2:$N$124,0))</f>
        <v>76.482</v>
      </c>
      <c r="J8" t="str" s="16" cm="1">
        <f t="array" ref="J8">IF(INDEX('All Students'!$Q$2:$Q$124,MATCH($A8,'All Students'!$N$2:$N$124,0))="","",INDEX('All Students'!$Q$2:$Q$124,MATCH($A8,'All Students'!$N$2:$N$124,0)))</f>
      </c>
    </row>
    <row r="9" ht="14.6" customHeight="1">
      <c r="A9" s="13">
        <v>5</v>
      </c>
      <c r="B9" t="str" s="14" cm="1">
        <f t="array" ref="B9">INDEX('All Students'!$A$2:$A$124,MATCH($A9,'All Students'!$N$2:$N$124,0))</f>
        <v>E0423030</v>
      </c>
      <c r="C9" t="str" s="14" cm="1">
        <f t="array" ref="C9">INDEX('All Students'!$B$2:$B$124,MATCH($A9,'All Students'!$N$2:$N$124,0))</f>
        <v>Priyadharshini.H</v>
      </c>
      <c r="D9" t="str" s="14" cm="1">
        <f t="array" ref="D9">INDEX('All Students'!$C$2:$C$124,MATCH($A9,'All Students'!$N$2:$N$124,0))</f>
        <v>B.Tech CSME-AIDA</v>
      </c>
      <c r="E9" t="str" s="14" cm="1">
        <f t="array" ref="E9">IF(INDEX('All Students'!$D$2:$D$124,MATCH($A9,'All Students'!$N$2:$N$124,0))=1,INDEX('All Students'!$E$2:$E$124,MATCH($A9,'All Students'!$N$2:$N$124,0)),"No — data pick")</f>
        <v>MED</v>
      </c>
      <c r="F9" s="13" cm="1">
        <f t="array" ref="F9">INDEX('All Students'!$F$2:$F$124,MATCH($A9,'All Students'!$N$2:$N$124,0))</f>
        <v>32</v>
      </c>
      <c r="G9" s="15" cm="1">
        <f t="array" ref="G9">INDEX('All Students'!$H$2:$H$124,MATCH($A9,'All Students'!$N$2:$N$124,0))</f>
        <v>75.59999999999999</v>
      </c>
      <c r="H9" s="15" cm="1">
        <f t="array" ref="H9">INDEX('All Students'!$L$2:$L$124,MATCH($A9,'All Students'!$N$2:$N$124,0))</f>
        <v>100</v>
      </c>
      <c r="I9" s="15" cm="1">
        <f t="array" ref="I9">INDEX('All Students'!$M$2:$M$124,MATCH($A9,'All Students'!$N$2:$N$124,0))</f>
        <v>76.17400000000001</v>
      </c>
      <c r="J9" t="str" s="16" cm="1">
        <f t="array" ref="J9">IF(INDEX('All Students'!$Q$2:$Q$124,MATCH($A9,'All Students'!$N$2:$N$124,0))="","",INDEX('All Students'!$Q$2:$Q$124,MATCH($A9,'All Students'!$N$2:$N$124,0)))</f>
      </c>
    </row>
    <row r="10" ht="14.6" customHeight="1">
      <c r="A10" s="13">
        <v>6</v>
      </c>
      <c r="B10" t="str" s="14" cm="1">
        <f t="array" ref="B10">INDEX('All Students'!$A$2:$A$124,MATCH($A10,'All Students'!$N$2:$N$124,0))</f>
        <v>E0423002</v>
      </c>
      <c r="C10" t="str" s="14" cm="1">
        <f t="array" ref="C10">INDEX('All Students'!$B$2:$B$124,MATCH($A10,'All Students'!$N$2:$N$124,0))</f>
        <v>Nikhilesh</v>
      </c>
      <c r="D10" t="str" s="14" cm="1">
        <f t="array" ref="D10">INDEX('All Students'!$C$2:$C$124,MATCH($A10,'All Students'!$N$2:$N$124,0))</f>
        <v>B.Tech CSME-AIDA</v>
      </c>
      <c r="E10" t="str" s="14" cm="1">
        <f t="array" ref="E10">IF(INDEX('All Students'!$D$2:$D$124,MATCH($A10,'All Students'!$N$2:$N$124,0))=1,INDEX('All Students'!$E$2:$E$124,MATCH($A10,'All Students'!$N$2:$N$124,0)),"No — data pick")</f>
        <v>MED</v>
      </c>
      <c r="F10" s="13" cm="1">
        <f t="array" ref="F10">INDEX('All Students'!$F$2:$F$124,MATCH($A10,'All Students'!$N$2:$N$124,0))</f>
        <v>28</v>
      </c>
      <c r="G10" s="15" cm="1">
        <f t="array" ref="G10">INDEX('All Students'!$H$2:$H$124,MATCH($A10,'All Students'!$N$2:$N$124,0))</f>
        <v>92.90000000000001</v>
      </c>
      <c r="H10" s="15" cm="1">
        <f t="array" ref="H10">INDEX('All Students'!$L$2:$L$124,MATCH($A10,'All Students'!$N$2:$N$124,0))</f>
        <v>86.3</v>
      </c>
      <c r="I10" s="15" cm="1">
        <f t="array" ref="I10">INDEX('All Students'!$M$2:$M$124,MATCH($A10,'All Students'!$N$2:$N$124,0))</f>
        <v>75.46299999999999</v>
      </c>
      <c r="J10" t="str" s="16" cm="1">
        <f t="array" ref="J10">IF(INDEX('All Students'!$Q$2:$Q$124,MATCH($A10,'All Students'!$N$2:$N$124,0))="","",INDEX('All Students'!$Q$2:$Q$124,MATCH($A10,'All Students'!$N$2:$N$124,0)))</f>
      </c>
    </row>
    <row r="11" ht="14.6" customHeight="1">
      <c r="A11" s="13">
        <v>7</v>
      </c>
      <c r="B11" t="str" s="14" cm="1">
        <f t="array" ref="B11">INDEX('All Students'!$A$2:$A$124,MATCH($A11,'All Students'!$N$2:$N$124,0))</f>
        <v>E0323040</v>
      </c>
      <c r="C11" t="str" s="14" cm="1">
        <f t="array" ref="C11">INDEX('All Students'!$B$2:$B$124,MATCH($A11,'All Students'!$N$2:$N$124,0))</f>
        <v>DARSHAN V</v>
      </c>
      <c r="D11" t="str" s="14" cm="1">
        <f t="array" ref="D11">INDEX('All Students'!$C$2:$C$124,MATCH($A11,'All Students'!$N$2:$N$124,0))</f>
        <v>B.Tech CSE-AIDA</v>
      </c>
      <c r="E11" t="str" s="14" cm="1">
        <f t="array" ref="E11">IF(INDEX('All Students'!$D$2:$D$124,MATCH($A11,'All Students'!$N$2:$N$124,0))=1,INDEX('All Students'!$E$2:$E$124,MATCH($A11,'All Students'!$N$2:$N$124,0)),"No — data pick")</f>
        <v>AIDA</v>
      </c>
      <c r="F11" s="13" cm="1">
        <f t="array" ref="F11">INDEX('All Students'!$F$2:$F$124,MATCH($A11,'All Students'!$N$2:$N$124,0))</f>
        <v>42</v>
      </c>
      <c r="G11" s="15" cm="1">
        <f t="array" ref="G11">INDEX('All Students'!$H$2:$H$124,MATCH($A11,'All Students'!$N$2:$N$124,0))</f>
        <v>72.5</v>
      </c>
      <c r="H11" s="15" cm="1">
        <f t="array" ref="H11">INDEX('All Students'!$L$2:$L$124,MATCH($A11,'All Students'!$N$2:$N$124,0))</f>
        <v>90.90000000000001</v>
      </c>
      <c r="I11" s="15" cm="1">
        <f t="array" ref="I11">INDEX('All Students'!$M$2:$M$124,MATCH($A11,'All Students'!$N$2:$N$124,0))</f>
        <v>73.169</v>
      </c>
      <c r="J11" t="str" s="16" cm="1">
        <f t="array" ref="J11">IF(INDEX('All Students'!$Q$2:$Q$124,MATCH($A11,'All Students'!$N$2:$N$124,0))="","",INDEX('All Students'!$Q$2:$Q$124,MATCH($A11,'All Students'!$N$2:$N$124,0)))</f>
        <v>Scores in bottom third of test-takers</v>
      </c>
    </row>
    <row r="12" ht="14.6" customHeight="1">
      <c r="A12" s="13">
        <v>8</v>
      </c>
      <c r="B12" t="str" s="14" cm="1">
        <f t="array" ref="B12">INDEX('All Students'!$A$2:$A$124,MATCH($A12,'All Students'!$N$2:$N$124,0))</f>
        <v>E0123021</v>
      </c>
      <c r="C12" t="str" s="14" cm="1">
        <f t="array" ref="C12">INDEX('All Students'!$B$2:$B$124,MATCH($A12,'All Students'!$N$2:$N$124,0))</f>
        <v>Koshree V</v>
      </c>
      <c r="D12" t="str" s="14" cm="1">
        <f t="array" ref="D12">INDEX('All Students'!$C$2:$C$124,MATCH($A12,'All Students'!$N$2:$N$124,0))</f>
        <v>B.Tech CSE-AIML</v>
      </c>
      <c r="E12" t="str" s="14" cm="1">
        <f t="array" ref="E12">IF(INDEX('All Students'!$D$2:$D$124,MATCH($A12,'All Students'!$N$2:$N$124,0))=1,INDEX('All Students'!$E$2:$E$124,MATCH($A12,'All Students'!$N$2:$N$124,0)),"No — data pick")</f>
        <v>AIML</v>
      </c>
      <c r="F12" s="13" cm="1">
        <f t="array" ref="F12">INDEX('All Students'!$F$2:$F$124,MATCH($A12,'All Students'!$N$2:$N$124,0))</f>
        <v>29</v>
      </c>
      <c r="G12" s="15" cm="1">
        <f t="array" ref="G12">INDEX('All Students'!$H$2:$H$124,MATCH($A12,'All Students'!$N$2:$N$124,0))</f>
        <v>82.2</v>
      </c>
      <c r="H12" s="15" cm="1">
        <f t="array" ref="H12">INDEX('All Students'!$L$2:$L$124,MATCH($A12,'All Students'!$N$2:$N$124,0))</f>
        <v>91.8</v>
      </c>
      <c r="I12" s="15" cm="1">
        <f t="array" ref="I12">INDEX('All Students'!$M$2:$M$124,MATCH($A12,'All Students'!$N$2:$N$124,0))</f>
        <v>72.559</v>
      </c>
      <c r="J12" t="str" s="16" cm="1">
        <f t="array" ref="J12">IF(INDEX('All Students'!$Q$2:$Q$124,MATCH($A12,'All Students'!$N$2:$N$124,0))="","",INDEX('All Students'!$Q$2:$Q$124,MATCH($A12,'All Students'!$N$2:$N$124,0)))</f>
      </c>
    </row>
    <row r="13" ht="14.6" customHeight="1">
      <c r="A13" s="13">
        <v>9</v>
      </c>
      <c r="B13" t="str" s="14" cm="1">
        <f t="array" ref="B13">INDEX('All Students'!$A$2:$A$124,MATCH($A13,'All Students'!$N$2:$N$124,0))</f>
        <v>E0123049</v>
      </c>
      <c r="C13" t="str" s="14" cm="1">
        <f t="array" ref="C13">INDEX('All Students'!$B$2:$B$124,MATCH($A13,'All Students'!$N$2:$N$124,0))</f>
        <v>Srinath A</v>
      </c>
      <c r="D13" t="str" s="14" cm="1">
        <f t="array" ref="D13">INDEX('All Students'!$C$2:$C$124,MATCH($A13,'All Students'!$N$2:$N$124,0))</f>
        <v>B.Tech CSE-AIML</v>
      </c>
      <c r="E13" t="str" s="14" cm="1">
        <f t="array" ref="E13">IF(INDEX('All Students'!$D$2:$D$124,MATCH($A13,'All Students'!$N$2:$N$124,0))=1,INDEX('All Students'!$E$2:$E$124,MATCH($A13,'All Students'!$N$2:$N$124,0)),"No — data pick")</f>
        <v>AIML</v>
      </c>
      <c r="F13" s="13" cm="1">
        <f t="array" ref="F13">INDEX('All Students'!$F$2:$F$124,MATCH($A13,'All Students'!$N$2:$N$124,0))</f>
        <v>26</v>
      </c>
      <c r="G13" s="15" cm="1">
        <f t="array" ref="G13">INDEX('All Students'!$H$2:$H$124,MATCH($A13,'All Students'!$N$2:$N$124,0))</f>
        <v>91.2</v>
      </c>
      <c r="H13" s="15" cm="1">
        <f t="array" ref="H13">INDEX('All Students'!$L$2:$L$124,MATCH($A13,'All Students'!$N$2:$N$124,0))</f>
        <v>91.8</v>
      </c>
      <c r="I13" s="15" cm="1">
        <f t="array" ref="I13">INDEX('All Students'!$M$2:$M$124,MATCH($A13,'All Students'!$N$2:$N$124,0))</f>
        <v>71.822</v>
      </c>
      <c r="J13" t="str" s="16" cm="1">
        <f t="array" ref="J13">IF(INDEX('All Students'!$Q$2:$Q$124,MATCH($A13,'All Students'!$N$2:$N$124,0))="","",INDEX('All Students'!$Q$2:$Q$124,MATCH($A13,'All Students'!$N$2:$N$124,0)))</f>
      </c>
    </row>
    <row r="14" ht="14.6" customHeight="1">
      <c r="A14" s="13">
        <v>10</v>
      </c>
      <c r="B14" t="str" s="14" cm="1">
        <f t="array" ref="B14">INDEX('All Students'!$A$2:$A$124,MATCH($A14,'All Students'!$N$2:$N$124,0))</f>
        <v>E0123015</v>
      </c>
      <c r="C14" t="str" s="14" cm="1">
        <f t="array" ref="C14">INDEX('All Students'!$B$2:$B$124,MATCH($A14,'All Students'!$N$2:$N$124,0))</f>
        <v>Leela Nandha Kishore K S</v>
      </c>
      <c r="D14" t="str" s="14" cm="1">
        <f t="array" ref="D14">INDEX('All Students'!$C$2:$C$124,MATCH($A14,'All Students'!$N$2:$N$124,0))</f>
        <v>B.Tech CSE-AIML</v>
      </c>
      <c r="E14" t="str" s="14" cm="1">
        <f t="array" ref="E14">IF(INDEX('All Students'!$D$2:$D$124,MATCH($A14,'All Students'!$N$2:$N$124,0))=1,INDEX('All Students'!$E$2:$E$124,MATCH($A14,'All Students'!$N$2:$N$124,0)),"No — data pick")</f>
        <v>AIML</v>
      </c>
      <c r="F14" s="13" cm="1">
        <f t="array" ref="F14">INDEX('All Students'!$F$2:$F$124,MATCH($A14,'All Students'!$N$2:$N$124,0))</f>
        <v>17</v>
      </c>
      <c r="G14" s="15" cm="1">
        <f t="array" ref="G14">INDEX('All Students'!$H$2:$H$124,MATCH($A14,'All Students'!$N$2:$N$124,0))</f>
        <v>96.8</v>
      </c>
      <c r="H14" s="15" cm="1">
        <f t="array" ref="H14">INDEX('All Students'!$L$2:$L$124,MATCH($A14,'All Students'!$N$2:$N$124,0))</f>
        <v>85.7</v>
      </c>
      <c r="I14" s="15" cm="1">
        <f t="array" ref="I14">INDEX('All Students'!$M$2:$M$124,MATCH($A14,'All Students'!$N$2:$N$124,0))</f>
        <v>71.73</v>
      </c>
      <c r="J14" t="str" s="16" cm="1">
        <f t="array" ref="J14">IF(INDEX('All Students'!$Q$2:$Q$124,MATCH($A14,'All Students'!$N$2:$N$124,0))="","",INDEX('All Students'!$Q$2:$Q$124,MATCH($A14,'All Students'!$N$2:$N$124,0)))</f>
        <v>Only 17/52 tests taken</v>
      </c>
    </row>
    <row r="15" ht="14.6" customHeight="1">
      <c r="A15" s="13">
        <v>11</v>
      </c>
      <c r="B15" t="str" s="14" cm="1">
        <f t="array" ref="B15">INDEX('All Students'!$A$2:$A$124,MATCH($A15,'All Students'!$N$2:$N$124,0))</f>
        <v>E0123007</v>
      </c>
      <c r="C15" t="str" s="14" cm="1">
        <f t="array" ref="C15">INDEX('All Students'!$B$2:$B$124,MATCH($A15,'All Students'!$N$2:$N$124,0))</f>
        <v>GOKUL B</v>
      </c>
      <c r="D15" t="str" s="14" cm="1">
        <f t="array" ref="D15">INDEX('All Students'!$C$2:$C$124,MATCH($A15,'All Students'!$N$2:$N$124,0))</f>
        <v>B.Tech CSE-AIML</v>
      </c>
      <c r="E15" t="str" s="14" cm="1">
        <f t="array" ref="E15">IF(INDEX('All Students'!$D$2:$D$124,MATCH($A15,'All Students'!$N$2:$N$124,0))=1,INDEX('All Students'!$E$2:$E$124,MATCH($A15,'All Students'!$N$2:$N$124,0)),"No — data pick")</f>
        <v>AIML</v>
      </c>
      <c r="F15" s="13" cm="1">
        <f t="array" ref="F15">INDEX('All Students'!$F$2:$F$124,MATCH($A15,'All Students'!$N$2:$N$124,0))</f>
        <v>23</v>
      </c>
      <c r="G15" s="15" cm="1">
        <f t="array" ref="G15">INDEX('All Students'!$H$2:$H$124,MATCH($A15,'All Students'!$N$2:$N$124,0))</f>
        <v>80.59999999999999</v>
      </c>
      <c r="H15" s="15" cm="1">
        <f t="array" ref="H15">INDEX('All Students'!$L$2:$L$124,MATCH($A15,'All Students'!$N$2:$N$124,0))</f>
        <v>100</v>
      </c>
      <c r="I15" s="15" cm="1">
        <f t="array" ref="I15">INDEX('All Students'!$M$2:$M$124,MATCH($A15,'All Students'!$N$2:$N$124,0))</f>
        <v>71.10299999999999</v>
      </c>
      <c r="J15" t="str" s="16" cm="1">
        <f t="array" ref="J15">IF(INDEX('All Students'!$Q$2:$Q$124,MATCH($A15,'All Students'!$N$2:$N$124,0))="","",INDEX('All Students'!$Q$2:$Q$124,MATCH($A15,'All Students'!$N$2:$N$124,0)))</f>
      </c>
    </row>
    <row r="16" ht="14.6" customHeight="1">
      <c r="A16" s="13">
        <v>12</v>
      </c>
      <c r="B16" t="str" s="14" cm="1">
        <f t="array" ref="B16">INDEX('All Students'!$A$2:$A$124,MATCH($A16,'All Students'!$N$2:$N$124,0))</f>
        <v>E0423028</v>
      </c>
      <c r="C16" t="str" s="14" cm="1">
        <f t="array" ref="C16">INDEX('All Students'!$B$2:$B$124,MATCH($A16,'All Students'!$N$2:$N$124,0))</f>
        <v>Prasanna T</v>
      </c>
      <c r="D16" t="str" s="14" cm="1">
        <f t="array" ref="D16">INDEX('All Students'!$C$2:$C$124,MATCH($A16,'All Students'!$N$2:$N$124,0))</f>
        <v>B.Tech CSME-AIDA</v>
      </c>
      <c r="E16" t="str" s="14" cm="1">
        <f t="array" ref="E16">IF(INDEX('All Students'!$D$2:$D$124,MATCH($A16,'All Students'!$N$2:$N$124,0))=1,INDEX('All Students'!$E$2:$E$124,MATCH($A16,'All Students'!$N$2:$N$124,0)),"No — data pick")</f>
        <v>No — data pick</v>
      </c>
      <c r="F16" s="13" cm="1">
        <f t="array" ref="F16">INDEX('All Students'!$F$2:$F$124,MATCH($A16,'All Students'!$N$2:$N$124,0))</f>
        <v>41</v>
      </c>
      <c r="G16" s="15" cm="1">
        <f t="array" ref="G16">INDEX('All Students'!$H$2:$H$124,MATCH($A16,'All Students'!$N$2:$N$124,0))</f>
        <v>93.2</v>
      </c>
      <c r="H16" s="15" cm="1">
        <f t="array" ref="H16">INDEX('All Students'!$L$2:$L$124,MATCH($A16,'All Students'!$N$2:$N$124,0))</f>
        <v>98.59999999999999</v>
      </c>
      <c r="I16" s="15" cm="1">
        <f t="array" ref="I16">INDEX('All Students'!$M$2:$M$124,MATCH($A16,'All Students'!$N$2:$N$124,0))</f>
        <v>70.742</v>
      </c>
      <c r="J16" t="str" s="16" cm="1">
        <f t="array" ref="J16">IF(INDEX('All Students'!$Q$2:$Q$124,MATCH($A16,'All Students'!$N$2:$N$124,0))="","",INDEX('All Students'!$Q$2:$Q$124,MATCH($A16,'All Students'!$N$2:$N$124,0)))</f>
        <v>Top-15 on data but not handpicked</v>
      </c>
    </row>
    <row r="17" ht="14.6" customHeight="1">
      <c r="A17" s="13">
        <v>13</v>
      </c>
      <c r="B17" t="str" s="14" cm="1">
        <f t="array" ref="B17">INDEX('All Students'!$A$2:$A$124,MATCH($A17,'All Students'!$N$2:$N$124,0))</f>
        <v>E0323029</v>
      </c>
      <c r="C17" t="str" s="14" cm="1">
        <f t="array" ref="C17">INDEX('All Students'!$B$2:$B$124,MATCH($A17,'All Students'!$N$2:$N$124,0))</f>
        <v>Ganesh K</v>
      </c>
      <c r="D17" t="str" s="14" cm="1">
        <f t="array" ref="D17">INDEX('All Students'!$C$2:$C$124,MATCH($A17,'All Students'!$N$2:$N$124,0))</f>
        <v>B.Tech CSE-AIDA</v>
      </c>
      <c r="E17" t="str" s="14" cm="1">
        <f t="array" ref="E17">IF(INDEX('All Students'!$D$2:$D$124,MATCH($A17,'All Students'!$N$2:$N$124,0))=1,INDEX('All Students'!$E$2:$E$124,MATCH($A17,'All Students'!$N$2:$N$124,0)),"No — data pick")</f>
        <v>AIDA</v>
      </c>
      <c r="F17" s="13" cm="1">
        <f t="array" ref="F17">INDEX('All Students'!$F$2:$F$124,MATCH($A17,'All Students'!$N$2:$N$124,0))</f>
        <v>33</v>
      </c>
      <c r="G17" s="15" cm="1">
        <f t="array" ref="G17">INDEX('All Students'!$H$2:$H$124,MATCH($A17,'All Students'!$N$2:$N$124,0))</f>
        <v>72.2</v>
      </c>
      <c r="H17" s="15" cm="1">
        <f t="array" ref="H17">INDEX('All Students'!$L$2:$L$124,MATCH($A17,'All Students'!$N$2:$N$124,0))</f>
        <v>85.7</v>
      </c>
      <c r="I17" s="15" cm="1">
        <f t="array" ref="I17">INDEX('All Students'!$M$2:$M$124,MATCH($A17,'All Students'!$N$2:$N$124,0))</f>
        <v>70.45399999999999</v>
      </c>
      <c r="J17" t="str" s="16" cm="1">
        <f t="array" ref="J17">IF(INDEX('All Students'!$Q$2:$Q$124,MATCH($A17,'All Students'!$N$2:$N$124,0))="","",INDEX('All Students'!$Q$2:$Q$124,MATCH($A17,'All Students'!$N$2:$N$124,0)))</f>
      </c>
    </row>
    <row r="18" ht="14.6" customHeight="1">
      <c r="A18" s="13">
        <v>14</v>
      </c>
      <c r="B18" t="str" s="14" cm="1">
        <f t="array" ref="B18">INDEX('All Students'!$A$2:$A$124,MATCH($A18,'All Students'!$N$2:$N$124,0))</f>
        <v>E0323048</v>
      </c>
      <c r="C18" t="str" s="14" cm="1">
        <f t="array" ref="C18">INDEX('All Students'!$B$2:$B$124,MATCH($A18,'All Students'!$N$2:$N$124,0))</f>
        <v>Tejaswini.R.J</v>
      </c>
      <c r="D18" t="str" s="14" cm="1">
        <f t="array" ref="D18">INDEX('All Students'!$C$2:$C$124,MATCH($A18,'All Students'!$N$2:$N$124,0))</f>
        <v>B.Tech CSE-AIDA</v>
      </c>
      <c r="E18" t="str" s="14" cm="1">
        <f t="array" ref="E18">IF(INDEX('All Students'!$D$2:$D$124,MATCH($A18,'All Students'!$N$2:$N$124,0))=1,INDEX('All Students'!$E$2:$E$124,MATCH($A18,'All Students'!$N$2:$N$124,0)),"No — data pick")</f>
        <v>AIDA</v>
      </c>
      <c r="F18" s="13" cm="1">
        <f t="array" ref="F18">INDEX('All Students'!$F$2:$F$124,MATCH($A18,'All Students'!$N$2:$N$124,0))</f>
        <v>28</v>
      </c>
      <c r="G18" s="15" cm="1">
        <f t="array" ref="G18">INDEX('All Students'!$H$2:$H$124,MATCH($A18,'All Students'!$N$2:$N$124,0))</f>
        <v>74.7</v>
      </c>
      <c r="H18" s="15" cm="1">
        <f t="array" ref="H18">INDEX('All Students'!$L$2:$L$124,MATCH($A18,'All Students'!$N$2:$N$124,0))</f>
        <v>94.8</v>
      </c>
      <c r="I18" s="15" cm="1">
        <f t="array" ref="I18">INDEX('All Students'!$M$2:$M$124,MATCH($A18,'All Students'!$N$2:$N$124,0))</f>
        <v>69.917</v>
      </c>
      <c r="J18" t="str" s="16" cm="1">
        <f t="array" ref="J18">IF(INDEX('All Students'!$Q$2:$Q$124,MATCH($A18,'All Students'!$N$2:$N$124,0))="","",INDEX('All Students'!$Q$2:$Q$124,MATCH($A18,'All Students'!$N$2:$N$124,0)))</f>
      </c>
    </row>
    <row r="19" ht="14.6" customHeight="1">
      <c r="A19" s="13">
        <v>15</v>
      </c>
      <c r="B19" t="str" s="14" cm="1">
        <f t="array" ref="B19">INDEX('All Students'!$A$2:$A$124,MATCH($A19,'All Students'!$N$2:$N$124,0))</f>
        <v>E0223028</v>
      </c>
      <c r="C19" t="str" s="14" cm="1">
        <f t="array" ref="C19">INDEX('All Students'!$B$2:$B$124,MATCH($A19,'All Students'!$N$2:$N$124,0))</f>
        <v>Neelesh K</v>
      </c>
      <c r="D19" t="str" s="14" cm="1">
        <f t="array" ref="D19">INDEX('All Students'!$C$2:$C$124,MATCH($A19,'All Students'!$N$2:$N$124,0))</f>
        <v>B.Tech CSE-CSIOT</v>
      </c>
      <c r="E19" t="str" s="14" cm="1">
        <f t="array" ref="E19">IF(INDEX('All Students'!$D$2:$D$124,MATCH($A19,'All Students'!$N$2:$N$124,0))=1,INDEX('All Students'!$E$2:$E$124,MATCH($A19,'All Students'!$N$2:$N$124,0)),"No — data pick")</f>
        <v>CYBER</v>
      </c>
      <c r="F19" s="13" cm="1">
        <f t="array" ref="F19">INDEX('All Students'!$F$2:$F$124,MATCH($A19,'All Students'!$N$2:$N$124,0))</f>
        <v>32</v>
      </c>
      <c r="G19" s="15" cm="1">
        <f t="array" ref="G19">INDEX('All Students'!$H$2:$H$124,MATCH($A19,'All Students'!$N$2:$N$124,0))</f>
        <v>81.09999999999999</v>
      </c>
      <c r="H19" s="15" cm="1">
        <f t="array" ref="H19">INDEX('All Students'!$L$2:$L$124,MATCH($A19,'All Students'!$N$2:$N$124,0))</f>
        <v>79.5</v>
      </c>
      <c r="I19" s="15" cm="1">
        <f t="array" ref="I19">INDEX('All Students'!$M$2:$M$124,MATCH($A19,'All Students'!$N$2:$N$124,0))</f>
        <v>69.562</v>
      </c>
      <c r="J19" t="str" s="16" cm="1">
        <f t="array" ref="J19">IF(INDEX('All Students'!$Q$2:$Q$124,MATCH($A19,'All Students'!$N$2:$N$124,0))="","",INDEX('All Students'!$Q$2:$Q$124,MATCH($A19,'All Students'!$N$2:$N$124,0)))</f>
      </c>
    </row>
    <row r="20" ht="14.6" customHeight="1">
      <c r="A20" s="13">
        <v>16</v>
      </c>
      <c r="B20" t="str" s="14" cm="1">
        <f t="array" ref="B20">INDEX('All Students'!$A$2:$A$124,MATCH($A20,'All Students'!$N$2:$N$124,0))</f>
        <v>E0223002</v>
      </c>
      <c r="C20" t="str" s="14" cm="1">
        <f t="array" ref="C20">INDEX('All Students'!$B$2:$B$124,MATCH($A20,'All Students'!$N$2:$N$124,0))</f>
        <v>Jacelyn Felcita J</v>
      </c>
      <c r="D20" t="str" s="14" cm="1">
        <f t="array" ref="D20">INDEX('All Students'!$C$2:$C$124,MATCH($A20,'All Students'!$N$2:$N$124,0))</f>
        <v>B.Tech CSE-CSIOT</v>
      </c>
      <c r="E20" t="str" s="14" cm="1">
        <f t="array" ref="E20">IF(INDEX('All Students'!$D$2:$D$124,MATCH($A20,'All Students'!$N$2:$N$124,0))=1,INDEX('All Students'!$E$2:$E$124,MATCH($A20,'All Students'!$N$2:$N$124,0)),"No — data pick")</f>
        <v>No — data pick</v>
      </c>
      <c r="F20" s="13" cm="1">
        <f t="array" ref="F20">INDEX('All Students'!$F$2:$F$124,MATCH($A20,'All Students'!$N$2:$N$124,0))</f>
        <v>45</v>
      </c>
      <c r="G20" s="15" cm="1">
        <f t="array" ref="G20">INDEX('All Students'!$H$2:$H$124,MATCH($A20,'All Students'!$N$2:$N$124,0))</f>
        <v>90.7</v>
      </c>
      <c r="H20" s="15" cm="1">
        <f t="array" ref="H20">INDEX('All Students'!$L$2:$L$124,MATCH($A20,'All Students'!$N$2:$N$124,0))</f>
        <v>89</v>
      </c>
      <c r="I20" s="15" cm="1">
        <f t="array" ref="I20">INDEX('All Students'!$M$2:$M$124,MATCH($A20,'All Students'!$N$2:$N$124,0))</f>
        <v>68.84099999999999</v>
      </c>
      <c r="J20" t="str" s="16" cm="1">
        <f t="array" ref="J20">IF(INDEX('All Students'!$Q$2:$Q$124,MATCH($A20,'All Students'!$N$2:$N$124,0))="","",INDEX('All Students'!$Q$2:$Q$124,MATCH($A20,'All Students'!$N$2:$N$124,0)))</f>
        <v>Top-15 on data but not handpicked</v>
      </c>
    </row>
    <row r="21" ht="26.6" customHeight="1">
      <c r="A21" s="13">
        <v>17</v>
      </c>
      <c r="B21" t="str" s="14" cm="1">
        <f t="array" ref="B21">INDEX('All Students'!$A$2:$A$124,MATCH($A21,'All Students'!$N$2:$N$124,0))</f>
        <v>E0223017</v>
      </c>
      <c r="C21" t="str" s="14" cm="1">
        <f t="array" ref="C21">INDEX('All Students'!$B$2:$B$124,MATCH($A21,'All Students'!$N$2:$N$124,0))</f>
        <v>Arjun V</v>
      </c>
      <c r="D21" t="str" s="14" cm="1">
        <f t="array" ref="D21">INDEX('All Students'!$C$2:$C$124,MATCH($A21,'All Students'!$N$2:$N$124,0))</f>
        <v>B.Tech CSE-CSIOT</v>
      </c>
      <c r="E21" t="str" s="14" cm="1">
        <f t="array" ref="E21">IF(INDEX('All Students'!$D$2:$D$124,MATCH($A21,'All Students'!$N$2:$N$124,0))=1,INDEX('All Students'!$E$2:$E$124,MATCH($A21,'All Students'!$N$2:$N$124,0)),"No — data pick")</f>
        <v>CYBER</v>
      </c>
      <c r="F21" s="13" cm="1">
        <f t="array" ref="F21">INDEX('All Students'!$F$2:$F$124,MATCH($A21,'All Students'!$N$2:$N$124,0))</f>
        <v>18</v>
      </c>
      <c r="G21" s="15" cm="1">
        <f t="array" ref="G21">INDEX('All Students'!$H$2:$H$124,MATCH($A21,'All Students'!$N$2:$N$124,0))</f>
        <v>91</v>
      </c>
      <c r="H21" s="15" cm="1">
        <f t="array" ref="H21">INDEX('All Students'!$L$2:$L$124,MATCH($A21,'All Students'!$N$2:$N$124,0))</f>
        <v>82.59999999999999</v>
      </c>
      <c r="I21" s="15" cm="1">
        <f t="array" ref="I21">INDEX('All Students'!$M$2:$M$124,MATCH($A21,'All Students'!$N$2:$N$124,0))</f>
        <v>67.973</v>
      </c>
      <c r="J21" t="str" s="16" cm="1">
        <f t="array" ref="J21">IF(INDEX('All Students'!$Q$2:$Q$124,MATCH($A21,'All Students'!$N$2:$N$124,0))="","",INDEX('All Students'!$Q$2:$Q$124,MATCH($A21,'All Students'!$N$2:$N$124,0)))</f>
        <v>Only 18/52 tests taken; Mostly inactive on tests since 31 Aug (5/35)</v>
      </c>
    </row>
    <row r="22" ht="14.6" customHeight="1">
      <c r="A22" s="13">
        <v>18</v>
      </c>
      <c r="B22" t="str" s="14" cm="1">
        <f t="array" ref="B22">INDEX('All Students'!$A$2:$A$124,MATCH($A22,'All Students'!$N$2:$N$124,0))</f>
        <v>E0323009</v>
      </c>
      <c r="C22" t="str" s="14" cm="1">
        <f t="array" ref="C22">INDEX('All Students'!$B$2:$B$124,MATCH($A22,'All Students'!$N$2:$N$124,0))</f>
        <v>Varnika Ramesh</v>
      </c>
      <c r="D22" t="str" s="14" cm="1">
        <f t="array" ref="D22">INDEX('All Students'!$C$2:$C$124,MATCH($A22,'All Students'!$N$2:$N$124,0))</f>
        <v>B.Tech CSE-AIDA</v>
      </c>
      <c r="E22" t="str" s="14" cm="1">
        <f t="array" ref="E22">IF(INDEX('All Students'!$D$2:$D$124,MATCH($A22,'All Students'!$N$2:$N$124,0))=1,INDEX('All Students'!$E$2:$E$124,MATCH($A22,'All Students'!$N$2:$N$124,0)),"No — data pick")</f>
        <v>AIDA</v>
      </c>
      <c r="F22" s="13" cm="1">
        <f t="array" ref="F22">INDEX('All Students'!$F$2:$F$124,MATCH($A22,'All Students'!$N$2:$N$124,0))</f>
        <v>20</v>
      </c>
      <c r="G22" s="15" cm="1">
        <f t="array" ref="G22">INDEX('All Students'!$H$2:$H$124,MATCH($A22,'All Students'!$N$2:$N$124,0))</f>
        <v>79.09999999999999</v>
      </c>
      <c r="H22" s="15" cm="1">
        <f t="array" ref="H22">INDEX('All Students'!$L$2:$L$124,MATCH($A22,'All Students'!$N$2:$N$124,0))</f>
        <v>89.59999999999999</v>
      </c>
      <c r="I22" s="15" cm="1">
        <f t="array" ref="I22">INDEX('All Students'!$M$2:$M$124,MATCH($A22,'All Students'!$N$2:$N$124,0))</f>
        <v>67.708</v>
      </c>
      <c r="J22" t="str" s="16" cm="1">
        <f t="array" ref="J22">IF(INDEX('All Students'!$Q$2:$Q$124,MATCH($A22,'All Students'!$N$2:$N$124,0))="","",INDEX('All Students'!$Q$2:$Q$124,MATCH($A22,'All Students'!$N$2:$N$124,0)))</f>
      </c>
    </row>
    <row r="23" ht="14.6" customHeight="1">
      <c r="A23" s="13">
        <v>19</v>
      </c>
      <c r="B23" t="str" s="14" cm="1">
        <f t="array" ref="B23">INDEX('All Students'!$A$2:$A$124,MATCH($A23,'All Students'!$N$2:$N$124,0))</f>
        <v>E0323014</v>
      </c>
      <c r="C23" t="str" s="14" cm="1">
        <f t="array" ref="C23">INDEX('All Students'!$B$2:$B$124,MATCH($A23,'All Students'!$N$2:$N$124,0))</f>
        <v>Sharmila S</v>
      </c>
      <c r="D23" t="str" s="14" cm="1">
        <f t="array" ref="D23">INDEX('All Students'!$C$2:$C$124,MATCH($A23,'All Students'!$N$2:$N$124,0))</f>
        <v>B.Tech CSE-AIDA</v>
      </c>
      <c r="E23" t="str" s="14" cm="1">
        <f t="array" ref="E23">IF(INDEX('All Students'!$D$2:$D$124,MATCH($A23,'All Students'!$N$2:$N$124,0))=1,INDEX('All Students'!$E$2:$E$124,MATCH($A23,'All Students'!$N$2:$N$124,0)),"No — data pick")</f>
        <v>AIDA</v>
      </c>
      <c r="F23" s="13" cm="1">
        <f t="array" ref="F23">INDEX('All Students'!$F$2:$F$124,MATCH($A23,'All Students'!$N$2:$N$124,0))</f>
        <v>32</v>
      </c>
      <c r="G23" s="15" cm="1">
        <f t="array" ref="G23">INDEX('All Students'!$H$2:$H$124,MATCH($A23,'All Students'!$N$2:$N$124,0))</f>
        <v>81.40000000000001</v>
      </c>
      <c r="H23" s="15" cm="1">
        <f t="array" ref="H23">INDEX('All Students'!$L$2:$L$124,MATCH($A23,'All Students'!$N$2:$N$124,0))</f>
        <v>60.3</v>
      </c>
      <c r="I23" s="15" cm="1">
        <f t="array" ref="I23">INDEX('All Students'!$M$2:$M$124,MATCH($A23,'All Students'!$N$2:$N$124,0))</f>
        <v>67.70699999999999</v>
      </c>
      <c r="J23" t="str" s="16" cm="1">
        <f t="array" ref="J23">IF(INDEX('All Students'!$Q$2:$Q$124,MATCH($A23,'All Students'!$N$2:$N$124,0))="","",INDEX('All Students'!$Q$2:$Q$124,MATCH($A23,'All Students'!$N$2:$N$124,0)))</f>
        <v>Class attendance 60%</v>
      </c>
    </row>
    <row r="24" ht="14.6" customHeight="1">
      <c r="A24" s="13">
        <v>20</v>
      </c>
      <c r="B24" t="str" s="14" cm="1">
        <f t="array" ref="B24">INDEX('All Students'!$A$2:$A$124,MATCH($A24,'All Students'!$N$2:$N$124,0))</f>
        <v>E0223011</v>
      </c>
      <c r="C24" t="str" s="14" cm="1">
        <f t="array" ref="C24">INDEX('All Students'!$B$2:$B$124,MATCH($A24,'All Students'!$N$2:$N$124,0))</f>
        <v>Yuvaraj R</v>
      </c>
      <c r="D24" t="str" s="14" cm="1">
        <f t="array" ref="D24">INDEX('All Students'!$C$2:$C$124,MATCH($A24,'All Students'!$N$2:$N$124,0))</f>
        <v>B.Tech CSE-CSIOT</v>
      </c>
      <c r="E24" t="str" s="14" cm="1">
        <f t="array" ref="E24">IF(INDEX('All Students'!$D$2:$D$124,MATCH($A24,'All Students'!$N$2:$N$124,0))=1,INDEX('All Students'!$E$2:$E$124,MATCH($A24,'All Students'!$N$2:$N$124,0)),"No — data pick")</f>
        <v>CYBER</v>
      </c>
      <c r="F24" s="13" cm="1">
        <f t="array" ref="F24">INDEX('All Students'!$F$2:$F$124,MATCH($A24,'All Students'!$N$2:$N$124,0))</f>
        <v>28</v>
      </c>
      <c r="G24" s="15" cm="1">
        <f t="array" ref="G24">INDEX('All Students'!$H$2:$H$124,MATCH($A24,'All Students'!$N$2:$N$124,0))</f>
        <v>75.90000000000001</v>
      </c>
      <c r="H24" s="15" cm="1">
        <f t="array" ref="H24">INDEX('All Students'!$L$2:$L$124,MATCH($A24,'All Students'!$N$2:$N$124,0))</f>
        <v>87.3</v>
      </c>
      <c r="I24" s="15" cm="1">
        <f t="array" ref="I24">INDEX('All Students'!$M$2:$M$124,MATCH($A24,'All Students'!$N$2:$N$124,0))</f>
        <v>67.51300000000001</v>
      </c>
      <c r="J24" t="str" s="16" cm="1">
        <f t="array" ref="J24">IF(INDEX('All Students'!$Q$2:$Q$124,MATCH($A24,'All Students'!$N$2:$N$124,0))="","",INDEX('All Students'!$Q$2:$Q$124,MATCH($A24,'All Students'!$N$2:$N$124,0)))</f>
      </c>
    </row>
    <row r="25" ht="26.6" customHeight="1">
      <c r="A25" s="13">
        <v>21</v>
      </c>
      <c r="B25" t="str" s="14" cm="1">
        <f t="array" ref="B25">INDEX('All Students'!$A$2:$A$124,MATCH($A25,'All Students'!$N$2:$N$124,0))</f>
        <v>E0223006</v>
      </c>
      <c r="C25" t="str" s="14" cm="1">
        <f t="array" ref="C25">INDEX('All Students'!$B$2:$B$124,MATCH($A25,'All Students'!$N$2:$N$124,0))</f>
        <v>Naveen Sekhar</v>
      </c>
      <c r="D25" t="str" s="14" cm="1">
        <f t="array" ref="D25">INDEX('All Students'!$C$2:$C$124,MATCH($A25,'All Students'!$N$2:$N$124,0))</f>
        <v>B.Tech CSE-CSIOT</v>
      </c>
      <c r="E25" t="str" s="14" cm="1">
        <f t="array" ref="E25">IF(INDEX('All Students'!$D$2:$D$124,MATCH($A25,'All Students'!$N$2:$N$124,0))=1,INDEX('All Students'!$E$2:$E$124,MATCH($A25,'All Students'!$N$2:$N$124,0)),"No — data pick")</f>
        <v>CYBER</v>
      </c>
      <c r="F25" s="13" cm="1">
        <f t="array" ref="F25">INDEX('All Students'!$F$2:$F$124,MATCH($A25,'All Students'!$N$2:$N$124,0))</f>
        <v>17</v>
      </c>
      <c r="G25" s="15" cm="1">
        <f t="array" ref="G25">INDEX('All Students'!$H$2:$H$124,MATCH($A25,'All Students'!$N$2:$N$124,0))</f>
        <v>83.2</v>
      </c>
      <c r="H25" s="15" cm="1">
        <f t="array" ref="H25">INDEX('All Students'!$L$2:$L$124,MATCH($A25,'All Students'!$N$2:$N$124,0))</f>
        <v>93.5</v>
      </c>
      <c r="I25" s="15" cm="1">
        <f t="array" ref="I25">INDEX('All Students'!$M$2:$M$124,MATCH($A25,'All Students'!$N$2:$N$124,0))</f>
        <v>67.239</v>
      </c>
      <c r="J25" t="str" s="16" cm="1">
        <f t="array" ref="J25">IF(INDEX('All Students'!$Q$2:$Q$124,MATCH($A25,'All Students'!$N$2:$N$124,0))="","",INDEX('All Students'!$Q$2:$Q$124,MATCH($A25,'All Students'!$N$2:$N$124,0)))</f>
        <v>Only 17/52 tests taken; Mostly inactive on tests since 31 Aug (6/35)</v>
      </c>
    </row>
    <row r="26" ht="14.6" customHeight="1">
      <c r="A26" s="13">
        <v>22</v>
      </c>
      <c r="B26" t="str" s="14" cm="1">
        <f t="array" ref="B26">INDEX('All Students'!$A$2:$A$124,MATCH($A26,'All Students'!$N$2:$N$124,0))</f>
        <v>E0423006</v>
      </c>
      <c r="C26" t="str" s="14" cm="1">
        <f t="array" ref="C26">INDEX('All Students'!$B$2:$B$124,MATCH($A26,'All Students'!$N$2:$N$124,0))</f>
        <v>B Priyadarshini</v>
      </c>
      <c r="D26" t="str" s="14" cm="1">
        <f t="array" ref="D26">INDEX('All Students'!$C$2:$C$124,MATCH($A26,'All Students'!$N$2:$N$124,0))</f>
        <v>B.Tech CSME-AIDA</v>
      </c>
      <c r="E26" t="str" s="14" cm="1">
        <f t="array" ref="E26">IF(INDEX('All Students'!$D$2:$D$124,MATCH($A26,'All Students'!$N$2:$N$124,0))=1,INDEX('All Students'!$E$2:$E$124,MATCH($A26,'All Students'!$N$2:$N$124,0)),"No — data pick")</f>
        <v>MED</v>
      </c>
      <c r="F26" s="13" cm="1">
        <f t="array" ref="F26">INDEX('All Students'!$F$2:$F$124,MATCH($A26,'All Students'!$N$2:$N$124,0))</f>
        <v>39</v>
      </c>
      <c r="G26" s="15" cm="1">
        <f t="array" ref="G26">INDEX('All Students'!$H$2:$H$124,MATCH($A26,'All Students'!$N$2:$N$124,0))</f>
        <v>64.90000000000001</v>
      </c>
      <c r="H26" s="15" cm="1">
        <f t="array" ref="H26">INDEX('All Students'!$L$2:$L$124,MATCH($A26,'All Students'!$N$2:$N$124,0))</f>
        <v>83.59999999999999</v>
      </c>
      <c r="I26" s="15" cm="1">
        <f t="array" ref="I26">INDEX('All Students'!$M$2:$M$124,MATCH($A26,'All Students'!$N$2:$N$124,0))</f>
        <v>66.887</v>
      </c>
      <c r="J26" t="str" s="16" cm="1">
        <f t="array" ref="J26">IF(INDEX('All Students'!$Q$2:$Q$124,MATCH($A26,'All Students'!$N$2:$N$124,0))="","",INDEX('All Students'!$Q$2:$Q$124,MATCH($A26,'All Students'!$N$2:$N$124,0)))</f>
        <v>Scores in bottom third of test-takers</v>
      </c>
    </row>
    <row r="27" ht="14.6" customHeight="1">
      <c r="A27" s="13">
        <v>23</v>
      </c>
      <c r="B27" t="str" s="14" cm="1">
        <f t="array" ref="B27">INDEX('All Students'!$A$2:$A$124,MATCH($A27,'All Students'!$N$2:$N$124,0))</f>
        <v>E0123028</v>
      </c>
      <c r="C27" t="str" s="14" cm="1">
        <f t="array" ref="C27">INDEX('All Students'!$B$2:$B$124,MATCH($A27,'All Students'!$N$2:$N$124,0))</f>
        <v>G. Tanya Sri</v>
      </c>
      <c r="D27" t="str" s="14" cm="1">
        <f t="array" ref="D27">INDEX('All Students'!$C$2:$C$124,MATCH($A27,'All Students'!$N$2:$N$124,0))</f>
        <v>B.Tech CSE-AIML</v>
      </c>
      <c r="E27" t="str" s="14" cm="1">
        <f t="array" ref="E27">IF(INDEX('All Students'!$D$2:$D$124,MATCH($A27,'All Students'!$N$2:$N$124,0))=1,INDEX('All Students'!$E$2:$E$124,MATCH($A27,'All Students'!$N$2:$N$124,0)),"No — data pick")</f>
        <v>AIML</v>
      </c>
      <c r="F27" s="13" cm="1">
        <f t="array" ref="F27">INDEX('All Students'!$F$2:$F$124,MATCH($A27,'All Students'!$N$2:$N$124,0))</f>
        <v>32</v>
      </c>
      <c r="G27" s="15" cm="1">
        <f t="array" ref="G27">INDEX('All Students'!$H$2:$H$124,MATCH($A27,'All Students'!$N$2:$N$124,0))</f>
        <v>84</v>
      </c>
      <c r="H27" s="15" cm="1">
        <f t="array" ref="H27">INDEX('All Students'!$L$2:$L$124,MATCH($A27,'All Students'!$N$2:$N$124,0))</f>
        <v>71.2</v>
      </c>
      <c r="I27" s="15" cm="1">
        <f t="array" ref="I27">INDEX('All Students'!$M$2:$M$124,MATCH($A27,'All Students'!$N$2:$N$124,0))</f>
        <v>66.83</v>
      </c>
      <c r="J27" t="str" s="16" cm="1">
        <f t="array" ref="J27">IF(INDEX('All Students'!$Q$2:$Q$124,MATCH($A27,'All Students'!$N$2:$N$124,0))="","",INDEX('All Students'!$Q$2:$Q$124,MATCH($A27,'All Students'!$N$2:$N$124,0)))</f>
      </c>
    </row>
    <row r="28" ht="14.6" customHeight="1">
      <c r="A28" s="13">
        <v>24</v>
      </c>
      <c r="B28" t="str" s="14" cm="1">
        <f t="array" ref="B28">INDEX('All Students'!$A$2:$A$124,MATCH($A28,'All Students'!$N$2:$N$124,0))</f>
        <v>E0123013</v>
      </c>
      <c r="C28" t="str" s="14" cm="1">
        <f t="array" ref="C28">INDEX('All Students'!$B$2:$B$124,MATCH($A28,'All Students'!$N$2:$N$124,0))</f>
        <v>ABEEJAY M</v>
      </c>
      <c r="D28" t="str" s="14" cm="1">
        <f t="array" ref="D28">INDEX('All Students'!$C$2:$C$124,MATCH($A28,'All Students'!$N$2:$N$124,0))</f>
        <v>B.Tech CSE-AIML</v>
      </c>
      <c r="E28" t="str" s="14" cm="1">
        <f t="array" ref="E28">IF(INDEX('All Students'!$D$2:$D$124,MATCH($A28,'All Students'!$N$2:$N$124,0))=1,INDEX('All Students'!$E$2:$E$124,MATCH($A28,'All Students'!$N$2:$N$124,0)),"No — data pick")</f>
        <v>AIML</v>
      </c>
      <c r="F28" s="13" cm="1">
        <f t="array" ref="F28">INDEX('All Students'!$F$2:$F$124,MATCH($A28,'All Students'!$N$2:$N$124,0))</f>
        <v>5</v>
      </c>
      <c r="G28" s="15" cm="1">
        <f t="array" ref="G28">INDEX('All Students'!$H$2:$H$124,MATCH($A28,'All Students'!$N$2:$N$124,0))</f>
        <v>94.8</v>
      </c>
      <c r="H28" s="15" cm="1">
        <f t="array" ref="H28">INDEX('All Students'!$L$2:$L$124,MATCH($A28,'All Students'!$N$2:$N$124,0))</f>
        <v>90.90000000000001</v>
      </c>
      <c r="I28" s="15" cm="1">
        <f t="array" ref="I28">INDEX('All Students'!$M$2:$M$124,MATCH($A28,'All Students'!$N$2:$N$124,0))</f>
        <v>66.514</v>
      </c>
      <c r="J28" t="str" s="16" cm="1">
        <f t="array" ref="J28">IF(INDEX('All Students'!$Q$2:$Q$124,MATCH($A28,'All Students'!$N$2:$N$124,0))="","",INDEX('All Students'!$Q$2:$Q$124,MATCH($A28,'All Students'!$N$2:$N$124,0)))</f>
        <v>Only 5/52 tests taken; Mostly inactive on tests since 31 Aug (3/35)</v>
      </c>
    </row>
    <row r="29" ht="14.6" customHeight="1">
      <c r="A29" s="13">
        <v>25</v>
      </c>
      <c r="B29" t="str" s="14" cm="1">
        <f t="array" ref="B29">INDEX('All Students'!$A$2:$A$124,MATCH($A29,'All Students'!$N$2:$N$124,0))</f>
        <v>E0123043</v>
      </c>
      <c r="C29" t="str" s="14" cm="1">
        <f t="array" ref="C29">INDEX('All Students'!$B$2:$B$124,MATCH($A29,'All Students'!$N$2:$N$124,0))</f>
        <v>Riya Vinod</v>
      </c>
      <c r="D29" t="str" s="14" cm="1">
        <f t="array" ref="D29">INDEX('All Students'!$C$2:$C$124,MATCH($A29,'All Students'!$N$2:$N$124,0))</f>
        <v>B.Tech CSE-AIML</v>
      </c>
      <c r="E29" t="str" s="14" cm="1">
        <f t="array" ref="E29">IF(INDEX('All Students'!$D$2:$D$124,MATCH($A29,'All Students'!$N$2:$N$124,0))=1,INDEX('All Students'!$E$2:$E$124,MATCH($A29,'All Students'!$N$2:$N$124,0)),"No — data pick")</f>
        <v>No — data pick</v>
      </c>
      <c r="F29" s="13" cm="1">
        <f t="array" ref="F29">INDEX('All Students'!$F$2:$F$124,MATCH($A29,'All Students'!$N$2:$N$124,0))</f>
        <v>45</v>
      </c>
      <c r="G29" s="15" cm="1">
        <f t="array" ref="G29">INDEX('All Students'!$H$2:$H$124,MATCH($A29,'All Students'!$N$2:$N$124,0))</f>
        <v>90.90000000000001</v>
      </c>
      <c r="H29" s="15" cm="1">
        <f t="array" ref="H29">INDEX('All Students'!$L$2:$L$124,MATCH($A29,'All Students'!$N$2:$N$124,0))</f>
        <v>84.90000000000001</v>
      </c>
      <c r="I29" s="15" cm="1">
        <f t="array" ref="I29">INDEX('All Students'!$M$2:$M$124,MATCH($A29,'All Students'!$N$2:$N$124,0))</f>
        <v>66.19199999999999</v>
      </c>
      <c r="J29" t="str" s="16" cm="1">
        <f t="array" ref="J29">IF(INDEX('All Students'!$Q$2:$Q$124,MATCH($A29,'All Students'!$N$2:$N$124,0))="","",INDEX('All Students'!$Q$2:$Q$124,MATCH($A29,'All Students'!$N$2:$N$124,0)))</f>
        <v>Top-15 on data but not handpicked</v>
      </c>
    </row>
    <row r="30" ht="14.6" customHeight="1">
      <c r="A30" s="13">
        <v>26</v>
      </c>
      <c r="B30" t="str" s="14" cm="1">
        <f t="array" ref="B30">INDEX('All Students'!$A$2:$A$124,MATCH($A30,'All Students'!$N$2:$N$124,0))</f>
        <v>E0223014</v>
      </c>
      <c r="C30" t="str" s="14" cm="1">
        <f t="array" ref="C30">INDEX('All Students'!$B$2:$B$124,MATCH($A30,'All Students'!$N$2:$N$124,0))</f>
        <v>Mehul V A</v>
      </c>
      <c r="D30" t="str" s="14" cm="1">
        <f t="array" ref="D30">INDEX('All Students'!$C$2:$C$124,MATCH($A30,'All Students'!$N$2:$N$124,0))</f>
        <v>B.Tech CSE-CSIOT</v>
      </c>
      <c r="E30" t="str" s="14" cm="1">
        <f t="array" ref="E30">IF(INDEX('All Students'!$D$2:$D$124,MATCH($A30,'All Students'!$N$2:$N$124,0))=1,INDEX('All Students'!$E$2:$E$124,MATCH($A30,'All Students'!$N$2:$N$124,0)),"No — data pick")</f>
        <v>CYBER</v>
      </c>
      <c r="F30" s="13" cm="1">
        <f t="array" ref="F30">INDEX('All Students'!$F$2:$F$124,MATCH($A30,'All Students'!$N$2:$N$124,0))</f>
        <v>27</v>
      </c>
      <c r="G30" s="15" cm="1">
        <f t="array" ref="G30">INDEX('All Students'!$H$2:$H$124,MATCH($A30,'All Students'!$N$2:$N$124,0))</f>
        <v>68.5</v>
      </c>
      <c r="H30" s="15" cm="1">
        <f t="array" ref="H30">INDEX('All Students'!$L$2:$L$124,MATCH($A30,'All Students'!$N$2:$N$124,0))</f>
        <v>94.5</v>
      </c>
      <c r="I30" s="15" cm="1">
        <f t="array" ref="I30">INDEX('All Students'!$M$2:$M$124,MATCH($A30,'All Students'!$N$2:$N$124,0))</f>
        <v>66.10899999999999</v>
      </c>
      <c r="J30" t="str" s="16" cm="1">
        <f t="array" ref="J30">IF(INDEX('All Students'!$Q$2:$Q$124,MATCH($A30,'All Students'!$N$2:$N$124,0))="","",INDEX('All Students'!$Q$2:$Q$124,MATCH($A30,'All Students'!$N$2:$N$124,0)))</f>
        <v>Scores in bottom third of test-takers</v>
      </c>
    </row>
    <row r="31" ht="26.6" customHeight="1">
      <c r="A31" s="13">
        <v>27</v>
      </c>
      <c r="B31" t="str" s="14" cm="1">
        <f t="array" ref="B31">INDEX('All Students'!$A$2:$A$124,MATCH($A31,'All Students'!$N$2:$N$124,0))</f>
        <v>E0123001</v>
      </c>
      <c r="C31" t="str" s="14" cm="1">
        <f t="array" ref="C31">INDEX('All Students'!$B$2:$B$124,MATCH($A31,'All Students'!$N$2:$N$124,0))</f>
        <v>Harisundar.R</v>
      </c>
      <c r="D31" t="str" s="14" cm="1">
        <f t="array" ref="D31">INDEX('All Students'!$C$2:$C$124,MATCH($A31,'All Students'!$N$2:$N$124,0))</f>
        <v>B.Tech CSE-AIML</v>
      </c>
      <c r="E31" t="str" s="14" cm="1">
        <f t="array" ref="E31">IF(INDEX('All Students'!$D$2:$D$124,MATCH($A31,'All Students'!$N$2:$N$124,0))=1,INDEX('All Students'!$E$2:$E$124,MATCH($A31,'All Students'!$N$2:$N$124,0)),"No — data pick")</f>
        <v>AIML</v>
      </c>
      <c r="F31" s="13" cm="1">
        <f t="array" ref="F31">INDEX('All Students'!$F$2:$F$124,MATCH($A31,'All Students'!$N$2:$N$124,0))</f>
        <v>11</v>
      </c>
      <c r="G31" s="15" cm="1">
        <f t="array" ref="G31">INDEX('All Students'!$H$2:$H$124,MATCH($A31,'All Students'!$N$2:$N$124,0))</f>
        <v>91.3</v>
      </c>
      <c r="H31" s="15" cm="1">
        <f t="array" ref="H31">INDEX('All Students'!$L$2:$L$124,MATCH($A31,'All Students'!$N$2:$N$124,0))</f>
        <v>84.90000000000001</v>
      </c>
      <c r="I31" s="15" cm="1">
        <f t="array" ref="I31">INDEX('All Students'!$M$2:$M$124,MATCH($A31,'All Students'!$N$2:$N$124,0))</f>
        <v>63.889</v>
      </c>
      <c r="J31" t="str" s="16" cm="1">
        <f t="array" ref="J31">IF(INDEX('All Students'!$Q$2:$Q$124,MATCH($A31,'All Students'!$N$2:$N$124,0))="","",INDEX('All Students'!$Q$2:$Q$124,MATCH($A31,'All Students'!$N$2:$N$124,0)))</f>
        <v>Only 11/52 tests taken; Mostly inactive on tests since 31 Aug (0/35)</v>
      </c>
    </row>
    <row r="32" ht="14.6" customHeight="1">
      <c r="A32" s="13">
        <v>28</v>
      </c>
      <c r="B32" t="str" s="14" cm="1">
        <f t="array" ref="B32">INDEX('All Students'!$A$2:$A$124,MATCH($A32,'All Students'!$N$2:$N$124,0))</f>
        <v>E0423008</v>
      </c>
      <c r="C32" t="str" s="14" cm="1">
        <f t="array" ref="C32">INDEX('All Students'!$B$2:$B$124,MATCH($A32,'All Students'!$N$2:$N$124,0))</f>
        <v>S.H.ASHMITHA</v>
      </c>
      <c r="D32" t="str" s="14" cm="1">
        <f t="array" ref="D32">INDEX('All Students'!$C$2:$C$124,MATCH($A32,'All Students'!$N$2:$N$124,0))</f>
        <v>B.Tech CSME-AIDA</v>
      </c>
      <c r="E32" t="str" s="14" cm="1">
        <f t="array" ref="E32">IF(INDEX('All Students'!$D$2:$D$124,MATCH($A32,'All Students'!$N$2:$N$124,0))=1,INDEX('All Students'!$E$2:$E$124,MATCH($A32,'All Students'!$N$2:$N$124,0)),"No — data pick")</f>
        <v>MED</v>
      </c>
      <c r="F32" s="13" cm="1">
        <f t="array" ref="F32">INDEX('All Students'!$F$2:$F$124,MATCH($A32,'All Students'!$N$2:$N$124,0))</f>
        <v>20</v>
      </c>
      <c r="G32" s="15" cm="1">
        <f t="array" ref="G32">INDEX('All Students'!$H$2:$H$124,MATCH($A32,'All Students'!$N$2:$N$124,0))</f>
        <v>83.8</v>
      </c>
      <c r="H32" s="15" cm="1">
        <f t="array" ref="H32">INDEX('All Students'!$L$2:$L$124,MATCH($A32,'All Students'!$N$2:$N$124,0))</f>
        <v>54.5</v>
      </c>
      <c r="I32" s="15" cm="1">
        <f t="array" ref="I32">INDEX('All Students'!$M$2:$M$124,MATCH($A32,'All Students'!$N$2:$N$124,0))</f>
        <v>63.514</v>
      </c>
      <c r="J32" t="str" s="16" cm="1">
        <f t="array" ref="J32">IF(INDEX('All Students'!$Q$2:$Q$124,MATCH($A32,'All Students'!$N$2:$N$124,0))="","",INDEX('All Students'!$Q$2:$Q$124,MATCH($A32,'All Students'!$N$2:$N$124,0)))</f>
        <v>Class attendance 55%</v>
      </c>
    </row>
    <row r="33" ht="14.6" customHeight="1">
      <c r="A33" s="13">
        <v>29</v>
      </c>
      <c r="B33" t="str" s="14" cm="1">
        <f t="array" ref="B33">INDEX('All Students'!$A$2:$A$124,MATCH($A33,'All Students'!$N$2:$N$124,0))</f>
        <v>E0423036</v>
      </c>
      <c r="C33" t="str" s="14" cm="1">
        <f t="array" ref="C33">INDEX('All Students'!$B$2:$B$124,MATCH($A33,'All Students'!$N$2:$N$124,0))</f>
        <v>Nithisha</v>
      </c>
      <c r="D33" t="str" s="14" cm="1">
        <f t="array" ref="D33">INDEX('All Students'!$C$2:$C$124,MATCH($A33,'All Students'!$N$2:$N$124,0))</f>
        <v>B.Tech CSME-AIDA</v>
      </c>
      <c r="E33" t="str" s="14" cm="1">
        <f t="array" ref="E33">IF(INDEX('All Students'!$D$2:$D$124,MATCH($A33,'All Students'!$N$2:$N$124,0))=1,INDEX('All Students'!$E$2:$E$124,MATCH($A33,'All Students'!$N$2:$N$124,0)),"No — data pick")</f>
        <v>No — data pick</v>
      </c>
      <c r="F33" s="13" cm="1">
        <f t="array" ref="F33">INDEX('All Students'!$F$2:$F$124,MATCH($A33,'All Students'!$N$2:$N$124,0))</f>
        <v>43</v>
      </c>
      <c r="G33" s="15" cm="1">
        <f t="array" ref="G33">INDEX('All Students'!$H$2:$H$124,MATCH($A33,'All Students'!$N$2:$N$124,0))</f>
        <v>88.3</v>
      </c>
      <c r="H33" s="15" cm="1">
        <f t="array" ref="H33">INDEX('All Students'!$L$2:$L$124,MATCH($A33,'All Students'!$N$2:$N$124,0))</f>
        <v>77.09999999999999</v>
      </c>
      <c r="I33" s="15" cm="1">
        <f t="array" ref="I33">INDEX('All Students'!$M$2:$M$124,MATCH($A33,'All Students'!$N$2:$N$124,0))</f>
        <v>63.236</v>
      </c>
      <c r="J33" t="str" s="16" cm="1">
        <f t="array" ref="J33">IF(INDEX('All Students'!$Q$2:$Q$124,MATCH($A33,'All Students'!$N$2:$N$124,0))="","",INDEX('All Students'!$Q$2:$Q$124,MATCH($A33,'All Students'!$N$2:$N$124,0)))</f>
        <v>Top-15 on data but not handpicked</v>
      </c>
    </row>
    <row r="34" ht="14.6" customHeight="1">
      <c r="A34" s="13">
        <v>30</v>
      </c>
      <c r="B34" t="str" s="14" cm="1">
        <f t="array" ref="B34">INDEX('All Students'!$A$2:$A$124,MATCH($A34,'All Students'!$N$2:$N$124,0))</f>
        <v>E0423015</v>
      </c>
      <c r="C34" t="str" s="14" cm="1">
        <f t="array" ref="C34">INDEX('All Students'!$B$2:$B$124,MATCH($A34,'All Students'!$N$2:$N$124,0))</f>
        <v>PRIYANKA K</v>
      </c>
      <c r="D34" t="str" s="14" cm="1">
        <f t="array" ref="D34">INDEX('All Students'!$C$2:$C$124,MATCH($A34,'All Students'!$N$2:$N$124,0))</f>
        <v>B.Tech CSME-AIDA</v>
      </c>
      <c r="E34" t="str" s="14" cm="1">
        <f t="array" ref="E34">IF(INDEX('All Students'!$D$2:$D$124,MATCH($A34,'All Students'!$N$2:$N$124,0))=1,INDEX('All Students'!$E$2:$E$124,MATCH($A34,'All Students'!$N$2:$N$124,0)),"No — data pick")</f>
        <v>No — data pick</v>
      </c>
      <c r="F34" s="13" cm="1">
        <f t="array" ref="F34">INDEX('All Students'!$F$2:$F$124,MATCH($A34,'All Students'!$N$2:$N$124,0))</f>
        <v>44</v>
      </c>
      <c r="G34" s="15" cm="1">
        <f t="array" ref="G34">INDEX('All Students'!$H$2:$H$124,MATCH($A34,'All Students'!$N$2:$N$124,0))</f>
        <v>68.09999999999999</v>
      </c>
      <c r="H34" s="15" cm="1">
        <f t="array" ref="H34">INDEX('All Students'!$L$2:$L$124,MATCH($A34,'All Students'!$N$2:$N$124,0))</f>
        <v>94.8</v>
      </c>
      <c r="I34" s="15" cm="1">
        <f t="array" ref="I34">INDEX('All Students'!$M$2:$M$124,MATCH($A34,'All Students'!$N$2:$N$124,0))</f>
        <v>62.914</v>
      </c>
      <c r="J34" t="str" s="16" cm="1">
        <f t="array" ref="J34">IF(INDEX('All Students'!$Q$2:$Q$124,MATCH($A34,'All Students'!$N$2:$N$124,0))="","",INDEX('All Students'!$Q$2:$Q$124,MATCH($A34,'All Students'!$N$2:$N$124,0)))</f>
        <v>Top-15 on data but not handpicked</v>
      </c>
    </row>
    <row r="35" ht="14.6" customHeight="1">
      <c r="A35" s="13">
        <v>31</v>
      </c>
      <c r="B35" t="str" s="14" cm="1">
        <f t="array" ref="B35">INDEX('All Students'!$A$2:$A$124,MATCH($A35,'All Students'!$N$2:$N$124,0))</f>
        <v>E0423017</v>
      </c>
      <c r="C35" t="str" s="14" cm="1">
        <f t="array" ref="C35">INDEX('All Students'!$B$2:$B$124,MATCH($A35,'All Students'!$N$2:$N$124,0))</f>
        <v>Parithy M</v>
      </c>
      <c r="D35" t="str" s="14" cm="1">
        <f t="array" ref="D35">INDEX('All Students'!$C$2:$C$124,MATCH($A35,'All Students'!$N$2:$N$124,0))</f>
        <v>B.Tech CSME-AIDA</v>
      </c>
      <c r="E35" t="str" s="14" cm="1">
        <f t="array" ref="E35">IF(INDEX('All Students'!$D$2:$D$124,MATCH($A35,'All Students'!$N$2:$N$124,0))=1,INDEX('All Students'!$E$2:$E$124,MATCH($A35,'All Students'!$N$2:$N$124,0)),"No — data pick")</f>
        <v>No — data pick</v>
      </c>
      <c r="F35" s="13" cm="1">
        <f t="array" ref="F35">INDEX('All Students'!$F$2:$F$124,MATCH($A35,'All Students'!$N$2:$N$124,0))</f>
        <v>42</v>
      </c>
      <c r="G35" s="15" cm="1">
        <f t="array" ref="G35">INDEX('All Students'!$H$2:$H$124,MATCH($A35,'All Students'!$N$2:$N$124,0))</f>
        <v>83</v>
      </c>
      <c r="H35" s="15" cm="1">
        <f t="array" ref="H35">INDEX('All Students'!$L$2:$L$124,MATCH($A35,'All Students'!$N$2:$N$124,0))</f>
        <v>90.40000000000001</v>
      </c>
      <c r="I35" s="15" cm="1">
        <f t="array" ref="I35">INDEX('All Students'!$M$2:$M$124,MATCH($A35,'All Students'!$N$2:$N$124,0))</f>
        <v>62.914</v>
      </c>
      <c r="J35" t="str" s="16" cm="1">
        <f t="array" ref="J35">IF(INDEX('All Students'!$Q$2:$Q$124,MATCH($A35,'All Students'!$N$2:$N$124,0))="","",INDEX('All Students'!$Q$2:$Q$124,MATCH($A35,'All Students'!$N$2:$N$124,0)))</f>
        <v>Top-15 on data but not handpicked</v>
      </c>
    </row>
    <row r="36" ht="14.6" customHeight="1">
      <c r="A36" s="13">
        <v>32</v>
      </c>
      <c r="B36" t="str" s="14" cm="1">
        <f t="array" ref="B36">INDEX('All Students'!$A$2:$A$124,MATCH($A36,'All Students'!$N$2:$N$124,0))</f>
        <v>E0423023</v>
      </c>
      <c r="C36" t="str" s="14" cm="1">
        <f t="array" ref="C36">INDEX('All Students'!$B$2:$B$124,MATCH($A36,'All Students'!$N$2:$N$124,0))</f>
        <v>Akshaya</v>
      </c>
      <c r="D36" t="str" s="14" cm="1">
        <f t="array" ref="D36">INDEX('All Students'!$C$2:$C$124,MATCH($A36,'All Students'!$N$2:$N$124,0))</f>
        <v>B.Tech CSME-AIDA</v>
      </c>
      <c r="E36" t="str" s="14" cm="1">
        <f t="array" ref="E36">IF(INDEX('All Students'!$D$2:$D$124,MATCH($A36,'All Students'!$N$2:$N$124,0))=1,INDEX('All Students'!$E$2:$E$124,MATCH($A36,'All Students'!$N$2:$N$124,0)),"No — data pick")</f>
        <v>No — data pick</v>
      </c>
      <c r="F36" s="13" cm="1">
        <f t="array" ref="F36">INDEX('All Students'!$F$2:$F$124,MATCH($A36,'All Students'!$N$2:$N$124,0))</f>
        <v>45</v>
      </c>
      <c r="G36" s="15" cm="1">
        <f t="array" ref="G36">INDEX('All Students'!$H$2:$H$124,MATCH($A36,'All Students'!$N$2:$N$124,0))</f>
        <v>76.59999999999999</v>
      </c>
      <c r="H36" s="15" cm="1">
        <f t="array" ref="H36">INDEX('All Students'!$L$2:$L$124,MATCH($A36,'All Students'!$N$2:$N$124,0))</f>
        <v>89.40000000000001</v>
      </c>
      <c r="I36" s="15" cm="1">
        <f t="array" ref="I36">INDEX('All Students'!$M$2:$M$124,MATCH($A36,'All Students'!$N$2:$N$124,0))</f>
        <v>62.746</v>
      </c>
      <c r="J36" t="str" s="16" cm="1">
        <f t="array" ref="J36">IF(INDEX('All Students'!$Q$2:$Q$124,MATCH($A36,'All Students'!$N$2:$N$124,0))="","",INDEX('All Students'!$Q$2:$Q$124,MATCH($A36,'All Students'!$N$2:$N$124,0)))</f>
        <v>Top-15 on data but not handpicked</v>
      </c>
    </row>
    <row r="37" ht="14.6" customHeight="1">
      <c r="A37" s="13">
        <v>33</v>
      </c>
      <c r="B37" t="str" s="14" cm="1">
        <f t="array" ref="B37">INDEX('All Students'!$A$2:$A$124,MATCH($A37,'All Students'!$N$2:$N$124,0))</f>
        <v>E0123011</v>
      </c>
      <c r="C37" t="str" s="14" cm="1">
        <f t="array" ref="C37">INDEX('All Students'!$B$2:$B$124,MATCH($A37,'All Students'!$N$2:$N$124,0))</f>
        <v>Abirami k</v>
      </c>
      <c r="D37" t="str" s="14" cm="1">
        <f t="array" ref="D37">INDEX('All Students'!$C$2:$C$124,MATCH($A37,'All Students'!$N$2:$N$124,0))</f>
        <v>B.Tech CSE-AIML</v>
      </c>
      <c r="E37" t="str" s="14" cm="1">
        <f t="array" ref="E37">IF(INDEX('All Students'!$D$2:$D$124,MATCH($A37,'All Students'!$N$2:$N$124,0))=1,INDEX('All Students'!$E$2:$E$124,MATCH($A37,'All Students'!$N$2:$N$124,0)),"No — data pick")</f>
        <v>No — data pick</v>
      </c>
      <c r="F37" s="13" cm="1">
        <f t="array" ref="F37">INDEX('All Students'!$F$2:$F$124,MATCH($A37,'All Students'!$N$2:$N$124,0))</f>
        <v>34</v>
      </c>
      <c r="G37" s="15" cm="1">
        <f t="array" ref="G37">INDEX('All Students'!$H$2:$H$124,MATCH($A37,'All Students'!$N$2:$N$124,0))</f>
        <v>88.2</v>
      </c>
      <c r="H37" s="15" cm="1">
        <f t="array" ref="H37">INDEX('All Students'!$L$2:$L$124,MATCH($A37,'All Students'!$N$2:$N$124,0))</f>
        <v>94.5</v>
      </c>
      <c r="I37" s="15" cm="1">
        <f t="array" ref="I37">INDEX('All Students'!$M$2:$M$124,MATCH($A37,'All Students'!$N$2:$N$124,0))</f>
        <v>62.659</v>
      </c>
      <c r="J37" t="str" s="16" cm="1">
        <f t="array" ref="J37">IF(INDEX('All Students'!$Q$2:$Q$124,MATCH($A37,'All Students'!$N$2:$N$124,0))="","",INDEX('All Students'!$Q$2:$Q$124,MATCH($A37,'All Students'!$N$2:$N$124,0)))</f>
        <v>Top-15 on data but not handpicked</v>
      </c>
    </row>
    <row r="38" ht="14.6" customHeight="1">
      <c r="A38" s="13">
        <v>34</v>
      </c>
      <c r="B38" t="str" s="14" cm="1">
        <f t="array" ref="B38">INDEX('All Students'!$A$2:$A$124,MATCH($A38,'All Students'!$N$2:$N$124,0))</f>
        <v>E0423031</v>
      </c>
      <c r="C38" t="str" s="14" cm="1">
        <f t="array" ref="C38">INDEX('All Students'!$B$2:$B$124,MATCH($A38,'All Students'!$N$2:$N$124,0))</f>
        <v>Aakarshana R</v>
      </c>
      <c r="D38" t="str" s="14" cm="1">
        <f t="array" ref="D38">INDEX('All Students'!$C$2:$C$124,MATCH($A38,'All Students'!$N$2:$N$124,0))</f>
        <v>B.Tech CSME-AIDA</v>
      </c>
      <c r="E38" t="str" s="14" cm="1">
        <f t="array" ref="E38">IF(INDEX('All Students'!$D$2:$D$124,MATCH($A38,'All Students'!$N$2:$N$124,0))=1,INDEX('All Students'!$E$2:$E$124,MATCH($A38,'All Students'!$N$2:$N$124,0)),"No — data pick")</f>
        <v>MED</v>
      </c>
      <c r="F38" s="13" cm="1">
        <f t="array" ref="F38">INDEX('All Students'!$F$2:$F$124,MATCH($A38,'All Students'!$N$2:$N$124,0))</f>
        <v>32</v>
      </c>
      <c r="G38" s="15" cm="1">
        <f t="array" ref="G38">INDEX('All Students'!$H$2:$H$124,MATCH($A38,'All Students'!$N$2:$N$124,0))</f>
        <v>73.40000000000001</v>
      </c>
      <c r="H38" s="15" cm="1">
        <f t="array" ref="H38">INDEX('All Students'!$L$2:$L$124,MATCH($A38,'All Students'!$N$2:$N$124,0))</f>
        <v>54.5</v>
      </c>
      <c r="I38" s="15" cm="1">
        <f t="array" ref="I38">INDEX('All Students'!$M$2:$M$124,MATCH($A38,'All Students'!$N$2:$N$124,0))</f>
        <v>61.622</v>
      </c>
      <c r="J38" t="str" s="16" cm="1">
        <f t="array" ref="J38">IF(INDEX('All Students'!$Q$2:$Q$124,MATCH($A38,'All Students'!$N$2:$N$124,0))="","",INDEX('All Students'!$Q$2:$Q$124,MATCH($A38,'All Students'!$N$2:$N$124,0)))</f>
        <v>Class attendance 55%</v>
      </c>
    </row>
    <row r="39" ht="14.6" customHeight="1">
      <c r="A39" s="13">
        <v>35</v>
      </c>
      <c r="B39" t="str" s="14" cm="1">
        <f t="array" ref="B39">INDEX('All Students'!$A$2:$A$124,MATCH($A39,'All Students'!$N$2:$N$124,0))</f>
        <v>E0323019</v>
      </c>
      <c r="C39" t="str" s="14" cm="1">
        <f t="array" ref="C39">INDEX('All Students'!$B$2:$B$124,MATCH($A39,'All Students'!$N$2:$N$124,0))</f>
        <v>SEJONE THOMAS FRANK</v>
      </c>
      <c r="D39" t="str" s="14" cm="1">
        <f t="array" ref="D39">INDEX('All Students'!$C$2:$C$124,MATCH($A39,'All Students'!$N$2:$N$124,0))</f>
        <v>B.Tech CSE-AIDA</v>
      </c>
      <c r="E39" t="str" s="14" cm="1">
        <f t="array" ref="E39">IF(INDEX('All Students'!$D$2:$D$124,MATCH($A39,'All Students'!$N$2:$N$124,0))=1,INDEX('All Students'!$E$2:$E$124,MATCH($A39,'All Students'!$N$2:$N$124,0)),"No — data pick")</f>
        <v>No — data pick</v>
      </c>
      <c r="F39" s="13" cm="1">
        <f t="array" ref="F39">INDEX('All Students'!$F$2:$F$124,MATCH($A39,'All Students'!$N$2:$N$124,0))</f>
        <v>35</v>
      </c>
      <c r="G39" s="15" cm="1">
        <f t="array" ref="G39">INDEX('All Students'!$H$2:$H$124,MATCH($A39,'All Students'!$N$2:$N$124,0))</f>
        <v>88.2</v>
      </c>
      <c r="H39" s="15" cm="1">
        <f t="array" ref="H39">INDEX('All Students'!$L$2:$L$124,MATCH($A39,'All Students'!$N$2:$N$124,0))</f>
        <v>92.2</v>
      </c>
      <c r="I39" s="15" cm="1">
        <f t="array" ref="I39">INDEX('All Students'!$M$2:$M$124,MATCH($A39,'All Students'!$N$2:$N$124,0))</f>
        <v>61.606</v>
      </c>
      <c r="J39" t="str" s="16" cm="1">
        <f t="array" ref="J39">IF(INDEX('All Students'!$Q$2:$Q$124,MATCH($A39,'All Students'!$N$2:$N$124,0))="","",INDEX('All Students'!$Q$2:$Q$124,MATCH($A39,'All Students'!$N$2:$N$124,0)))</f>
        <v>Top-15 on data but not handpicked</v>
      </c>
    </row>
    <row r="40" ht="14.6" customHeight="1">
      <c r="A40" s="13">
        <v>36</v>
      </c>
      <c r="B40" t="str" s="14" cm="1">
        <f t="array" ref="B40">INDEX('All Students'!$A$2:$A$124,MATCH($A40,'All Students'!$N$2:$N$124,0))</f>
        <v>E0123026</v>
      </c>
      <c r="C40" t="str" s="14" cm="1">
        <f t="array" ref="C40">INDEX('All Students'!$B$2:$B$124,MATCH($A40,'All Students'!$N$2:$N$124,0))</f>
        <v>Aakash N</v>
      </c>
      <c r="D40" t="str" s="14" cm="1">
        <f t="array" ref="D40">INDEX('All Students'!$C$2:$C$124,MATCH($A40,'All Students'!$N$2:$N$124,0))</f>
        <v>B.Tech CSE-AIML</v>
      </c>
      <c r="E40" t="str" s="14" cm="1">
        <f t="array" ref="E40">IF(INDEX('All Students'!$D$2:$D$124,MATCH($A40,'All Students'!$N$2:$N$124,0))=1,INDEX('All Students'!$E$2:$E$124,MATCH($A40,'All Students'!$N$2:$N$124,0)),"No — data pick")</f>
        <v>AIML</v>
      </c>
      <c r="F40" s="13" cm="1">
        <f t="array" ref="F40">INDEX('All Students'!$F$2:$F$124,MATCH($A40,'All Students'!$N$2:$N$124,0))</f>
        <v>16</v>
      </c>
      <c r="G40" s="15" cm="1">
        <f t="array" ref="G40">INDEX('All Students'!$H$2:$H$124,MATCH($A40,'All Students'!$N$2:$N$124,0))</f>
        <v>56</v>
      </c>
      <c r="H40" s="15" cm="1">
        <f t="array" ref="H40">INDEX('All Students'!$L$2:$L$124,MATCH($A40,'All Students'!$N$2:$N$124,0))</f>
        <v>93.2</v>
      </c>
      <c r="I40" s="15" cm="1">
        <f t="array" ref="I40">INDEX('All Students'!$M$2:$M$124,MATCH($A40,'All Students'!$N$2:$N$124,0))</f>
        <v>61.429</v>
      </c>
      <c r="J40" t="str" s="16" cm="1">
        <f t="array" ref="J40">IF(INDEX('All Students'!$Q$2:$Q$124,MATCH($A40,'All Students'!$N$2:$N$124,0))="","",INDEX('All Students'!$Q$2:$Q$124,MATCH($A40,'All Students'!$N$2:$N$124,0)))</f>
        <v>Only 16/52 tests taken; Scores in bottom third of test-takers</v>
      </c>
    </row>
    <row r="41" ht="14.6" customHeight="1">
      <c r="A41" s="13">
        <v>37</v>
      </c>
      <c r="B41" t="str" s="14" cm="1">
        <f t="array" ref="B41">INDEX('All Students'!$A$2:$A$124,MATCH($A41,'All Students'!$N$2:$N$124,0))</f>
        <v>E0223009</v>
      </c>
      <c r="C41" t="str" s="14" cm="1">
        <f t="array" ref="C41">INDEX('All Students'!$B$2:$B$124,MATCH($A41,'All Students'!$N$2:$N$124,0))</f>
        <v>Advaita Suresh</v>
      </c>
      <c r="D41" t="str" s="14" cm="1">
        <f t="array" ref="D41">INDEX('All Students'!$C$2:$C$124,MATCH($A41,'All Students'!$N$2:$N$124,0))</f>
        <v>B.Tech CSE-CSIOT</v>
      </c>
      <c r="E41" t="str" s="14" cm="1">
        <f t="array" ref="E41">IF(INDEX('All Students'!$D$2:$D$124,MATCH($A41,'All Students'!$N$2:$N$124,0))=1,INDEX('All Students'!$E$2:$E$124,MATCH($A41,'All Students'!$N$2:$N$124,0)),"No — data pick")</f>
        <v>CYBER</v>
      </c>
      <c r="F41" s="13" cm="1">
        <f t="array" ref="F41">INDEX('All Students'!$F$2:$F$124,MATCH($A41,'All Students'!$N$2:$N$124,0))</f>
        <v>27</v>
      </c>
      <c r="G41" s="15" cm="1">
        <f t="array" ref="G41">INDEX('All Students'!$H$2:$H$124,MATCH($A41,'All Students'!$N$2:$N$124,0))</f>
        <v>55.4</v>
      </c>
      <c r="H41" s="15" cm="1">
        <f t="array" ref="H41">INDEX('All Students'!$L$2:$L$124,MATCH($A41,'All Students'!$N$2:$N$124,0))</f>
        <v>84.09999999999999</v>
      </c>
      <c r="I41" s="15" cm="1">
        <f t="array" ref="I41">INDEX('All Students'!$M$2:$M$124,MATCH($A41,'All Students'!$N$2:$N$124,0))</f>
        <v>61.097</v>
      </c>
      <c r="J41" t="str" s="16" cm="1">
        <f t="array" ref="J41">IF(INDEX('All Students'!$Q$2:$Q$124,MATCH($A41,'All Students'!$N$2:$N$124,0))="","",INDEX('All Students'!$Q$2:$Q$124,MATCH($A41,'All Students'!$N$2:$N$124,0)))</f>
        <v>Scores in bottom third of test-takers</v>
      </c>
    </row>
    <row r="42" ht="14.6" customHeight="1">
      <c r="A42" s="13">
        <v>38</v>
      </c>
      <c r="B42" t="str" s="14" cm="1">
        <f t="array" ref="B42">INDEX('All Students'!$A$2:$A$124,MATCH($A42,'All Students'!$N$2:$N$124,0))</f>
        <v>E0223020</v>
      </c>
      <c r="C42" t="str" s="14" cm="1">
        <f t="array" ref="C42">INDEX('All Students'!$B$2:$B$124,MATCH($A42,'All Students'!$N$2:$N$124,0))</f>
        <v>Rujita Balamurugan</v>
      </c>
      <c r="D42" t="str" s="14" cm="1">
        <f t="array" ref="D42">INDEX('All Students'!$C$2:$C$124,MATCH($A42,'All Students'!$N$2:$N$124,0))</f>
        <v>B.Tech CSE-CSIOT</v>
      </c>
      <c r="E42" t="str" s="14" cm="1">
        <f t="array" ref="E42">IF(INDEX('All Students'!$D$2:$D$124,MATCH($A42,'All Students'!$N$2:$N$124,0))=1,INDEX('All Students'!$E$2:$E$124,MATCH($A42,'All Students'!$N$2:$N$124,0)),"No — data pick")</f>
        <v>CYBER</v>
      </c>
      <c r="F42" s="13" cm="1">
        <f t="array" ref="F42">INDEX('All Students'!$F$2:$F$124,MATCH($A42,'All Students'!$N$2:$N$124,0))</f>
        <v>30</v>
      </c>
      <c r="G42" s="15" cm="1">
        <f t="array" ref="G42">INDEX('All Students'!$H$2:$H$124,MATCH($A42,'All Students'!$N$2:$N$124,0))</f>
        <v>78.40000000000001</v>
      </c>
      <c r="H42" s="15" cm="1">
        <f t="array" ref="H42">INDEX('All Students'!$L$2:$L$124,MATCH($A42,'All Students'!$N$2:$N$124,0))</f>
        <v>56.2</v>
      </c>
      <c r="I42" s="15" cm="1">
        <f t="array" ref="I42">INDEX('All Students'!$M$2:$M$124,MATCH($A42,'All Students'!$N$2:$N$124,0))</f>
        <v>60.57</v>
      </c>
      <c r="J42" t="str" s="16" cm="1">
        <f t="array" ref="J42">IF(INDEX('All Students'!$Q$2:$Q$124,MATCH($A42,'All Students'!$N$2:$N$124,0))="","",INDEX('All Students'!$Q$2:$Q$124,MATCH($A42,'All Students'!$N$2:$N$124,0)))</f>
        <v>Class attendance 56%</v>
      </c>
    </row>
    <row r="43" ht="14.6" customHeight="1">
      <c r="A43" s="13">
        <v>39</v>
      </c>
      <c r="B43" t="str" s="14" cm="1">
        <f t="array" ref="B43">INDEX('All Students'!$A$2:$A$124,MATCH($A43,'All Students'!$N$2:$N$124,0))</f>
        <v>E0123008</v>
      </c>
      <c r="C43" t="str" s="14" cm="1">
        <f t="array" ref="C43">INDEX('All Students'!$B$2:$B$124,MATCH($A43,'All Students'!$N$2:$N$124,0))</f>
        <v>MOHAMED JASMIR</v>
      </c>
      <c r="D43" t="str" s="14" cm="1">
        <f t="array" ref="D43">INDEX('All Students'!$C$2:$C$124,MATCH($A43,'All Students'!$N$2:$N$124,0))</f>
        <v>B.Tech CSE-AIML</v>
      </c>
      <c r="E43" t="str" s="14" cm="1">
        <f t="array" ref="E43">IF(INDEX('All Students'!$D$2:$D$124,MATCH($A43,'All Students'!$N$2:$N$124,0))=1,INDEX('All Students'!$E$2:$E$124,MATCH($A43,'All Students'!$N$2:$N$124,0)),"No — data pick")</f>
        <v>AIML</v>
      </c>
      <c r="F43" s="13" cm="1">
        <f t="array" ref="F43">INDEX('All Students'!$F$2:$F$124,MATCH($A43,'All Students'!$N$2:$N$124,0))</f>
        <v>17</v>
      </c>
      <c r="G43" s="15" cm="1">
        <f t="array" ref="G43">INDEX('All Students'!$H$2:$H$124,MATCH($A43,'All Students'!$N$2:$N$124,0))</f>
        <v>88.40000000000001</v>
      </c>
      <c r="H43" s="15" cm="1">
        <f t="array" ref="H43">INDEX('All Students'!$L$2:$L$124,MATCH($A43,'All Students'!$N$2:$N$124,0))</f>
        <v>59.7</v>
      </c>
      <c r="I43" s="15" cm="1">
        <f t="array" ref="I43">INDEX('All Students'!$M$2:$M$124,MATCH($A43,'All Students'!$N$2:$N$124,0))</f>
        <v>59.739</v>
      </c>
      <c r="J43" t="str" s="16" cm="1">
        <f t="array" ref="J43">IF(INDEX('All Students'!$Q$2:$Q$124,MATCH($A43,'All Students'!$N$2:$N$124,0))="","",INDEX('All Students'!$Q$2:$Q$124,MATCH($A43,'All Students'!$N$2:$N$124,0)))</f>
        <v>Only 17/52 tests taken; Class attendance 60%</v>
      </c>
    </row>
    <row r="44" ht="14.6" customHeight="1">
      <c r="A44" s="13">
        <v>40</v>
      </c>
      <c r="B44" t="str" s="14" cm="1">
        <f t="array" ref="B44">INDEX('All Students'!$A$2:$A$124,MATCH($A44,'All Students'!$N$2:$N$124,0))</f>
        <v>E0423003</v>
      </c>
      <c r="C44" t="str" s="14" cm="1">
        <f t="array" ref="C44">INDEX('All Students'!$B$2:$B$124,MATCH($A44,'All Students'!$N$2:$N$124,0))</f>
        <v>Tarani V</v>
      </c>
      <c r="D44" t="str" s="14" cm="1">
        <f t="array" ref="D44">INDEX('All Students'!$C$2:$C$124,MATCH($A44,'All Students'!$N$2:$N$124,0))</f>
        <v>B.Tech CSME-AIDA</v>
      </c>
      <c r="E44" t="str" s="14" cm="1">
        <f t="array" ref="E44">IF(INDEX('All Students'!$D$2:$D$124,MATCH($A44,'All Students'!$N$2:$N$124,0))=1,INDEX('All Students'!$E$2:$E$124,MATCH($A44,'All Students'!$N$2:$N$124,0)),"No — data pick")</f>
        <v>MED</v>
      </c>
      <c r="F44" s="13" cm="1">
        <f t="array" ref="F44">INDEX('All Students'!$F$2:$F$124,MATCH($A44,'All Students'!$N$2:$N$124,0))</f>
        <v>36</v>
      </c>
      <c r="G44" s="15" cm="1">
        <f t="array" ref="G44">INDEX('All Students'!$H$2:$H$124,MATCH($A44,'All Students'!$N$2:$N$124,0))</f>
        <v>59.5</v>
      </c>
      <c r="H44" s="15" cm="1">
        <f t="array" ref="H44">INDEX('All Students'!$L$2:$L$124,MATCH($A44,'All Students'!$N$2:$N$124,0))</f>
        <v>67.09999999999999</v>
      </c>
      <c r="I44" s="15" cm="1">
        <f t="array" ref="I44">INDEX('All Students'!$M$2:$M$124,MATCH($A44,'All Students'!$N$2:$N$124,0))</f>
        <v>59.649</v>
      </c>
      <c r="J44" t="str" s="16" cm="1">
        <f t="array" ref="J44">IF(INDEX('All Students'!$Q$2:$Q$124,MATCH($A44,'All Students'!$N$2:$N$124,0))="","",INDEX('All Students'!$Q$2:$Q$124,MATCH($A44,'All Students'!$N$2:$N$124,0)))</f>
        <v>Scores in bottom third of test-takers</v>
      </c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66667" defaultRowHeight="15" customHeight="1" outlineLevelRow="0" outlineLevelCol="0"/>
  <cols>
    <col min="1" max="1" width="40" style="17" customWidth="1"/>
    <col min="2" max="2" width="110" style="17" customWidth="1"/>
    <col min="3" max="5" width="8.67188" style="17" customWidth="1"/>
    <col min="6" max="16384" width="8.67188" style="17" customWidth="1"/>
  </cols>
  <sheetData>
    <row r="1" ht="18.5" customHeight="1">
      <c r="A1" t="s" s="2">
        <v>113</v>
      </c>
      <c r="B1" s="18"/>
      <c r="C1" s="19"/>
      <c r="D1" s="19"/>
      <c r="E1" s="19"/>
    </row>
    <row r="2" ht="14.6" customHeight="1">
      <c r="A2" s="20"/>
      <c r="B2" s="20"/>
      <c r="C2" s="19"/>
      <c r="D2" s="19"/>
      <c r="E2" s="19"/>
    </row>
    <row r="3" ht="14.6" customHeight="1">
      <c r="A3" t="s" s="21">
        <v>114</v>
      </c>
      <c r="B3" t="s" s="22">
        <v>115</v>
      </c>
      <c r="C3" s="23"/>
      <c r="D3" s="19"/>
      <c r="E3" s="19"/>
    </row>
    <row r="4" ht="14.6" customHeight="1">
      <c r="A4" t="s" s="24">
        <v>116</v>
      </c>
      <c r="B4" s="25">
        <v>0.55</v>
      </c>
      <c r="C4" s="23"/>
      <c r="D4" s="19"/>
      <c r="E4" s="19"/>
    </row>
    <row r="5" ht="14.6" customHeight="1">
      <c r="A5" t="s" s="26">
        <v>117</v>
      </c>
      <c r="B5" s="25">
        <v>0.3</v>
      </c>
      <c r="C5" s="23"/>
      <c r="D5" s="19"/>
      <c r="E5" s="19"/>
    </row>
    <row r="6" ht="14.6" customHeight="1">
      <c r="A6" t="s" s="26">
        <v>118</v>
      </c>
      <c r="B6" s="25">
        <v>0.15</v>
      </c>
      <c r="C6" s="23"/>
      <c r="D6" s="19"/>
      <c r="E6" s="19"/>
    </row>
    <row r="7" ht="14.6" customHeight="1">
      <c r="A7" t="s" s="27">
        <v>119</v>
      </c>
      <c r="B7" s="28" cm="1">
        <f t="array" ref="B7">B4+B5+B6</f>
        <v>1</v>
      </c>
      <c r="C7" s="19"/>
      <c r="D7" s="19"/>
      <c r="E7" s="19"/>
    </row>
    <row r="8" ht="14.6" customHeight="1">
      <c r="A8" s="18"/>
      <c r="B8" s="18"/>
      <c r="C8" s="19"/>
      <c r="D8" s="19"/>
      <c r="E8" s="19"/>
    </row>
    <row r="9" ht="14.6" customHeight="1">
      <c r="A9" t="s" s="27">
        <v>120</v>
      </c>
      <c r="B9" s="20"/>
      <c r="C9" s="19"/>
      <c r="D9" s="19"/>
      <c r="E9" s="19"/>
    </row>
    <row r="10" ht="14.6" customHeight="1">
      <c r="A10" t="s" s="26">
        <v>121</v>
      </c>
      <c r="B10" s="25">
        <v>0.6</v>
      </c>
      <c r="C10" s="23"/>
      <c r="D10" s="19"/>
      <c r="E10" s="19"/>
    </row>
    <row r="11" ht="14.6" customHeight="1">
      <c r="A11" t="s" s="26">
        <v>122</v>
      </c>
      <c r="B11" s="25">
        <v>0.4</v>
      </c>
      <c r="C11" s="23"/>
      <c r="D11" s="19"/>
      <c r="E11" s="19"/>
    </row>
    <row r="12" ht="14.6" customHeight="1">
      <c r="A12" s="18"/>
      <c r="B12" s="29"/>
      <c r="C12" s="19"/>
      <c r="D12" s="19"/>
      <c r="E12" s="19"/>
    </row>
    <row r="13" ht="14.6" customHeight="1">
      <c r="A13" t="s" s="26">
        <v>123</v>
      </c>
      <c r="B13" s="30">
        <v>40</v>
      </c>
      <c r="C13" s="23"/>
      <c r="D13" s="19"/>
      <c r="E13" s="19"/>
    </row>
    <row r="14" ht="14.6" customHeight="1">
      <c r="A14" s="18"/>
      <c r="B14" s="31"/>
      <c r="C14" s="19"/>
      <c r="D14" s="19"/>
      <c r="E14" s="19"/>
    </row>
    <row r="15" ht="14.6" customHeight="1">
      <c r="A15" t="s" s="27">
        <v>124</v>
      </c>
      <c r="B15" s="18"/>
      <c r="C15" s="19"/>
      <c r="D15" s="19"/>
      <c r="E15" s="19"/>
    </row>
    <row r="16" ht="38.6" customHeight="1">
      <c r="A16" t="s" s="32">
        <v>125</v>
      </c>
      <c r="B16" t="s" s="33">
        <v>126</v>
      </c>
      <c r="C16" s="19"/>
      <c r="D16" s="19"/>
      <c r="E16" s="19"/>
    </row>
    <row r="17" ht="14.6" customHeight="1">
      <c r="A17" t="s" s="32">
        <v>127</v>
      </c>
      <c r="B17" t="s" s="33">
        <v>128</v>
      </c>
      <c r="C17" s="19"/>
      <c r="D17" s="19"/>
      <c r="E17" s="19"/>
    </row>
    <row r="18" ht="14.6" customHeight="1">
      <c r="A18" t="s" s="32">
        <v>129</v>
      </c>
      <c r="B18" t="s" s="33">
        <v>130</v>
      </c>
      <c r="C18" s="19"/>
      <c r="D18" s="19"/>
      <c r="E18" s="19"/>
    </row>
    <row r="19" ht="14.6" customHeight="1">
      <c r="A19" t="s" s="32">
        <v>6</v>
      </c>
      <c r="B19" t="s" s="33">
        <v>131</v>
      </c>
      <c r="C19" s="19"/>
      <c r="D19" s="19"/>
      <c r="E19" s="19"/>
    </row>
    <row r="20" ht="26.6" customHeight="1">
      <c r="A20" t="s" s="32">
        <v>10</v>
      </c>
      <c r="B20" t="s" s="33">
        <v>132</v>
      </c>
      <c r="C20" s="19"/>
      <c r="D20" s="19"/>
      <c r="E20" s="19"/>
    </row>
    <row r="21" ht="38.6" customHeight="1">
      <c r="A21" t="s" s="32">
        <v>133</v>
      </c>
      <c r="B21" t="s" s="33">
        <v>134</v>
      </c>
      <c r="C21" s="19"/>
      <c r="D21" s="19"/>
      <c r="E21" s="19"/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Q124"/>
  <sheetViews>
    <sheetView workbookViewId="0" showGridLines="0" defaultGridColor="1"/>
  </sheetViews>
  <sheetFormatPr defaultColWidth="8.66667" defaultRowHeight="15" customHeight="1" outlineLevelRow="0" outlineLevelCol="0"/>
  <cols>
    <col min="1" max="1" width="11" style="34" customWidth="1"/>
    <col min="2" max="2" width="26" style="34" customWidth="1"/>
    <col min="3" max="3" width="18" style="34" customWidth="1"/>
    <col min="4" max="5" width="11" style="34" customWidth="1"/>
    <col min="6" max="6" width="10" style="34" customWidth="1"/>
    <col min="7" max="7" width="11" style="34" customWidth="1"/>
    <col min="8" max="10" width="12" style="34" customWidth="1"/>
    <col min="11" max="11" width="10" style="34" customWidth="1"/>
    <col min="12" max="12" width="11" style="34" customWidth="1"/>
    <col min="13" max="13" width="10" style="34" customWidth="1"/>
    <col min="14" max="14" width="7" style="34" customWidth="1"/>
    <col min="15" max="15" width="8" style="34" customWidth="1"/>
    <col min="16" max="16" width="9" style="34" customWidth="1"/>
    <col min="17" max="17" width="60" style="34" customWidth="1"/>
    <col min="18" max="16384" width="8.67188" style="34" customWidth="1"/>
  </cols>
  <sheetData>
    <row r="1" ht="45" customHeight="1">
      <c r="A1" t="s" s="35">
        <v>3</v>
      </c>
      <c r="B1" t="s" s="35">
        <v>4</v>
      </c>
      <c r="C1" t="s" s="35">
        <v>5</v>
      </c>
      <c r="D1" t="s" s="35">
        <v>135</v>
      </c>
      <c r="E1" t="s" s="35">
        <v>136</v>
      </c>
      <c r="F1" t="s" s="35">
        <v>7</v>
      </c>
      <c r="G1" t="s" s="35">
        <v>137</v>
      </c>
      <c r="H1" t="s" s="35">
        <v>138</v>
      </c>
      <c r="I1" t="s" s="35">
        <v>139</v>
      </c>
      <c r="J1" t="s" s="35">
        <v>140</v>
      </c>
      <c r="K1" t="s" s="35">
        <v>141</v>
      </c>
      <c r="L1" t="s" s="35">
        <v>9</v>
      </c>
      <c r="M1" t="s" s="35">
        <v>10</v>
      </c>
      <c r="N1" t="s" s="35">
        <v>2</v>
      </c>
      <c r="O1" t="s" s="35">
        <v>142</v>
      </c>
      <c r="P1" t="s" s="35">
        <v>143</v>
      </c>
      <c r="Q1" t="s" s="35">
        <v>144</v>
      </c>
    </row>
    <row r="2" ht="14.6" customHeight="1">
      <c r="A2" t="s" s="27">
        <v>145</v>
      </c>
      <c r="B2" t="s" s="27">
        <v>146</v>
      </c>
      <c r="C2" t="s" s="27">
        <v>147</v>
      </c>
      <c r="D2" s="18">
        <v>1</v>
      </c>
      <c r="E2" t="s" s="27">
        <v>148</v>
      </c>
      <c r="F2" s="18">
        <v>48</v>
      </c>
      <c r="G2" s="18">
        <v>33</v>
      </c>
      <c r="H2" s="18">
        <v>91.5</v>
      </c>
      <c r="I2" s="18">
        <v>64.3</v>
      </c>
      <c r="J2" s="18">
        <v>93.3</v>
      </c>
      <c r="K2" s="36" cm="1">
        <f t="array" ref="K2">'Weights &amp; Method'!$B$10*I2+'Weights &amp; Method'!$B$11*J2</f>
        <v>75.90000000000001</v>
      </c>
      <c r="L2" s="36">
        <v>94.5</v>
      </c>
      <c r="M2" s="36" cm="1">
        <f t="array" ref="M2">'Weights &amp; Method'!$B$4*K2+'Weights &amp; Method'!$B$5*L2+'Weights &amp; Method'!$B$6*100*D2</f>
        <v>85.095</v>
      </c>
      <c r="N2" s="36" cm="1">
        <f t="array" ref="N2">RANK(M2,$M$2:$M$124)+COUNTIF($M$2:M2,M2)-1</f>
        <v>1</v>
      </c>
      <c r="O2" t="str" s="37" cm="1">
        <f t="array" ref="O2">IF(N2&lt;='Weights &amp; Method'!$B$13,"Yes","No")</f>
        <v>Yes</v>
      </c>
      <c r="P2" s="18">
        <v>2</v>
      </c>
      <c r="Q2" s="18"/>
    </row>
    <row r="3" ht="14.6" customHeight="1">
      <c r="A3" t="s" s="27">
        <v>150</v>
      </c>
      <c r="B3" t="s" s="27">
        <v>151</v>
      </c>
      <c r="C3" t="s" s="27">
        <v>147</v>
      </c>
      <c r="D3" s="18">
        <v>1</v>
      </c>
      <c r="E3" t="s" s="27">
        <v>148</v>
      </c>
      <c r="F3" s="18">
        <v>44</v>
      </c>
      <c r="G3" s="18">
        <v>28</v>
      </c>
      <c r="H3" s="18">
        <v>85</v>
      </c>
      <c r="I3" s="18">
        <v>59.4</v>
      </c>
      <c r="J3" s="18">
        <v>82.3</v>
      </c>
      <c r="K3" s="36" cm="1">
        <f t="array" ref="K3">'Weights &amp; Method'!$B$10*I3+'Weights &amp; Method'!$B$11*J3</f>
        <v>68.56</v>
      </c>
      <c r="L3" s="36">
        <v>93.5</v>
      </c>
      <c r="M3" s="36" cm="1">
        <f t="array" ref="M3">'Weights &amp; Method'!$B$4*K3+'Weights &amp; Method'!$B$5*L3+'Weights &amp; Method'!$B$6*100*D3</f>
        <v>80.758</v>
      </c>
      <c r="N3" s="36" cm="1">
        <f t="array" ref="N3">RANK(M3,$M$2:$M$124)+COUNTIF($M$2:M3,M3)-1</f>
        <v>2</v>
      </c>
      <c r="O3" t="str" s="37" cm="1">
        <f t="array" ref="O3">IF(N3&lt;='Weights &amp; Method'!$B$13,"Yes","No")</f>
        <v>Yes</v>
      </c>
      <c r="P3" s="18">
        <v>5</v>
      </c>
      <c r="Q3" s="18"/>
    </row>
    <row r="4" ht="14.6" customHeight="1">
      <c r="A4" t="s" s="27">
        <v>152</v>
      </c>
      <c r="B4" t="s" s="27">
        <v>153</v>
      </c>
      <c r="C4" t="s" s="27">
        <v>147</v>
      </c>
      <c r="D4" s="18">
        <v>1</v>
      </c>
      <c r="E4" t="s" s="27">
        <v>148</v>
      </c>
      <c r="F4" s="18">
        <v>32</v>
      </c>
      <c r="G4" s="18">
        <v>22</v>
      </c>
      <c r="H4" s="18">
        <v>81.09999999999999</v>
      </c>
      <c r="I4" s="18">
        <v>51.6</v>
      </c>
      <c r="J4" s="18">
        <v>62.2</v>
      </c>
      <c r="K4" s="36" cm="1">
        <f t="array" ref="K4">'Weights &amp; Method'!$B$10*I4+'Weights &amp; Method'!$B$11*J4</f>
        <v>55.84</v>
      </c>
      <c r="L4" s="36">
        <v>79.5</v>
      </c>
      <c r="M4" s="36" cm="1">
        <f t="array" ref="M4">'Weights &amp; Method'!$B$4*K4+'Weights &amp; Method'!$B$5*L4+'Weights &amp; Method'!$B$6*100*D4</f>
        <v>69.562</v>
      </c>
      <c r="N4" s="36">
        <v>15</v>
      </c>
      <c r="O4" t="str" s="37" cm="1">
        <f t="array" ref="O4">IF(N4&lt;='Weights &amp; Method'!$B$13,"Yes","No")</f>
        <v>Yes</v>
      </c>
      <c r="P4" s="18">
        <v>32</v>
      </c>
      <c r="Q4" s="18"/>
    </row>
    <row r="5" ht="14.6" customHeight="1">
      <c r="A5" t="s" s="27">
        <v>154</v>
      </c>
      <c r="B5" t="s" s="27">
        <v>155</v>
      </c>
      <c r="C5" t="s" s="27">
        <v>147</v>
      </c>
      <c r="D5" s="18">
        <v>0</v>
      </c>
      <c r="E5" t="s" s="27">
        <v>148</v>
      </c>
      <c r="F5" s="18">
        <v>45</v>
      </c>
      <c r="G5" s="18">
        <v>31</v>
      </c>
      <c r="H5" s="18">
        <v>90.7</v>
      </c>
      <c r="I5" s="18">
        <v>69.3</v>
      </c>
      <c r="J5" s="18">
        <v>87.59999999999999</v>
      </c>
      <c r="K5" s="36" cm="1">
        <f t="array" ref="K5">'Weights &amp; Method'!$B$10*I5+'Weights &amp; Method'!$B$11*J5</f>
        <v>76.62</v>
      </c>
      <c r="L5" s="36">
        <v>89</v>
      </c>
      <c r="M5" s="36" cm="1">
        <f t="array" ref="M5">'Weights &amp; Method'!$B$4*K5+'Weights &amp; Method'!$B$5*L5+'Weights &amp; Method'!$B$6*100*D5</f>
        <v>68.84099999999999</v>
      </c>
      <c r="N5" s="36">
        <v>16</v>
      </c>
      <c r="O5" t="str" s="37" cm="1">
        <f t="array" ref="O5">IF(N5&lt;='Weights &amp; Method'!$B$13,"Yes","No")</f>
        <v>Yes</v>
      </c>
      <c r="P5" s="18">
        <v>3</v>
      </c>
      <c r="Q5" t="s" s="27">
        <v>156</v>
      </c>
    </row>
    <row r="6" ht="14.6" customHeight="1">
      <c r="A6" t="s" s="27">
        <v>157</v>
      </c>
      <c r="B6" t="s" s="27">
        <v>158</v>
      </c>
      <c r="C6" t="s" s="27">
        <v>147</v>
      </c>
      <c r="D6" s="18">
        <v>1</v>
      </c>
      <c r="E6" t="s" s="27">
        <v>148</v>
      </c>
      <c r="F6" s="18">
        <v>18</v>
      </c>
      <c r="G6" s="18">
        <v>5</v>
      </c>
      <c r="H6" s="18">
        <v>91</v>
      </c>
      <c r="I6" s="18">
        <v>69.09999999999999</v>
      </c>
      <c r="J6" s="18">
        <v>24.5</v>
      </c>
      <c r="K6" s="36" cm="1">
        <f t="array" ref="K6">'Weights &amp; Method'!$B$10*I6+'Weights &amp; Method'!$B$11*J6</f>
        <v>51.26</v>
      </c>
      <c r="L6" s="36">
        <v>82.59999999999999</v>
      </c>
      <c r="M6" s="36" cm="1">
        <f t="array" ref="M6">'Weights &amp; Method'!$B$4*K6+'Weights &amp; Method'!$B$5*L6+'Weights &amp; Method'!$B$6*100*D6</f>
        <v>67.973</v>
      </c>
      <c r="N6" s="36">
        <v>17</v>
      </c>
      <c r="O6" t="str" s="37" cm="1">
        <f t="array" ref="O6">IF(N6&lt;='Weights &amp; Method'!$B$13,"Yes","No")</f>
        <v>Yes</v>
      </c>
      <c r="P6" s="18">
        <v>38</v>
      </c>
      <c r="Q6" t="s" s="27">
        <v>159</v>
      </c>
    </row>
    <row r="7" ht="14.6" customHeight="1">
      <c r="A7" t="s" s="27">
        <v>160</v>
      </c>
      <c r="B7" t="s" s="27">
        <v>161</v>
      </c>
      <c r="C7" t="s" s="27">
        <v>147</v>
      </c>
      <c r="D7" s="18">
        <v>1</v>
      </c>
      <c r="E7" t="s" s="27">
        <v>148</v>
      </c>
      <c r="F7" s="18">
        <v>28</v>
      </c>
      <c r="G7" s="18">
        <v>14</v>
      </c>
      <c r="H7" s="18">
        <v>75.90000000000001</v>
      </c>
      <c r="I7" s="18">
        <v>48.5</v>
      </c>
      <c r="J7" s="18">
        <v>46.9</v>
      </c>
      <c r="K7" s="36" cm="1">
        <f t="array" ref="K7">'Weights &amp; Method'!$B$10*I7+'Weights &amp; Method'!$B$11*J7</f>
        <v>47.86</v>
      </c>
      <c r="L7" s="36">
        <v>87.3</v>
      </c>
      <c r="M7" s="36" cm="1">
        <f t="array" ref="M7">'Weights &amp; Method'!$B$4*K7+'Weights &amp; Method'!$B$5*L7+'Weights &amp; Method'!$B$6*100*D7</f>
        <v>67.51300000000001</v>
      </c>
      <c r="N7" s="36">
        <v>20</v>
      </c>
      <c r="O7" t="str" s="37" cm="1">
        <f t="array" ref="O7">IF(N7&lt;='Weights &amp; Method'!$B$13,"Yes","No")</f>
        <v>Yes</v>
      </c>
      <c r="P7" s="18">
        <v>42</v>
      </c>
      <c r="Q7" s="18"/>
    </row>
    <row r="8" ht="14.6" customHeight="1">
      <c r="A8" t="s" s="27">
        <v>162</v>
      </c>
      <c r="B8" t="s" s="27">
        <v>163</v>
      </c>
      <c r="C8" t="s" s="27">
        <v>147</v>
      </c>
      <c r="D8" s="18">
        <v>1</v>
      </c>
      <c r="E8" t="s" s="27">
        <v>148</v>
      </c>
      <c r="F8" s="18">
        <v>17</v>
      </c>
      <c r="G8" s="18">
        <v>6</v>
      </c>
      <c r="H8" s="18">
        <v>83.2</v>
      </c>
      <c r="I8" s="18">
        <v>56.7</v>
      </c>
      <c r="J8" s="18">
        <v>24.9</v>
      </c>
      <c r="K8" s="36" cm="1">
        <f t="array" ref="K8">'Weights &amp; Method'!$B$10*I8+'Weights &amp; Method'!$B$11*J8</f>
        <v>43.98</v>
      </c>
      <c r="L8" s="36">
        <v>93.5</v>
      </c>
      <c r="M8" s="36" cm="1">
        <f t="array" ref="M8">'Weights &amp; Method'!$B$4*K8+'Weights &amp; Method'!$B$5*L8+'Weights &amp; Method'!$B$6*100*D8</f>
        <v>67.239</v>
      </c>
      <c r="N8" s="36">
        <v>21</v>
      </c>
      <c r="O8" t="str" s="37" cm="1">
        <f t="array" ref="O8">IF(N8&lt;='Weights &amp; Method'!$B$13,"Yes","No")</f>
        <v>Yes</v>
      </c>
      <c r="P8" s="18">
        <v>43</v>
      </c>
      <c r="Q8" t="s" s="27">
        <v>164</v>
      </c>
    </row>
    <row r="9" ht="14.6" customHeight="1">
      <c r="A9" t="s" s="27">
        <v>165</v>
      </c>
      <c r="B9" t="s" s="27">
        <v>166</v>
      </c>
      <c r="C9" t="s" s="27">
        <v>147</v>
      </c>
      <c r="D9" s="18">
        <v>1</v>
      </c>
      <c r="E9" t="s" s="27">
        <v>148</v>
      </c>
      <c r="F9" s="18">
        <v>27</v>
      </c>
      <c r="G9" s="18">
        <v>14</v>
      </c>
      <c r="H9" s="18">
        <v>68.5</v>
      </c>
      <c r="I9" s="18">
        <v>38.3</v>
      </c>
      <c r="J9" s="18">
        <v>46</v>
      </c>
      <c r="K9" s="36" cm="1">
        <f t="array" ref="K9">'Weights &amp; Method'!$B$10*I9+'Weights &amp; Method'!$B$11*J9</f>
        <v>41.38</v>
      </c>
      <c r="L9" s="36">
        <v>94.5</v>
      </c>
      <c r="M9" s="36" cm="1">
        <f t="array" ref="M9">'Weights &amp; Method'!$B$4*K9+'Weights &amp; Method'!$B$5*L9+'Weights &amp; Method'!$B$6*100*D9</f>
        <v>66.10899999999999</v>
      </c>
      <c r="N9" s="36">
        <v>26</v>
      </c>
      <c r="O9" t="str" s="37" cm="1">
        <f t="array" ref="O9">IF(N9&lt;='Weights &amp; Method'!$B$13,"Yes","No")</f>
        <v>Yes</v>
      </c>
      <c r="P9" s="18">
        <v>52</v>
      </c>
      <c r="Q9" t="s" s="27">
        <v>167</v>
      </c>
    </row>
    <row r="10" ht="14.6" customHeight="1">
      <c r="A10" t="s" s="27">
        <v>168</v>
      </c>
      <c r="B10" t="s" s="27">
        <v>169</v>
      </c>
      <c r="C10" t="s" s="27">
        <v>147</v>
      </c>
      <c r="D10" s="18">
        <v>1</v>
      </c>
      <c r="E10" t="s" s="27">
        <v>148</v>
      </c>
      <c r="F10" s="18">
        <v>27</v>
      </c>
      <c r="G10" s="18">
        <v>16</v>
      </c>
      <c r="H10" s="18">
        <v>55.4</v>
      </c>
      <c r="I10" s="18">
        <v>30.7</v>
      </c>
      <c r="J10" s="18">
        <v>48.8</v>
      </c>
      <c r="K10" s="36" cm="1">
        <f t="array" ref="K10">'Weights &amp; Method'!$B$10*I10+'Weights &amp; Method'!$B$11*J10</f>
        <v>37.94</v>
      </c>
      <c r="L10" s="36">
        <v>84.09999999999999</v>
      </c>
      <c r="M10" s="36" cm="1">
        <f t="array" ref="M10">'Weights &amp; Method'!$B$4*K10+'Weights &amp; Method'!$B$5*L10+'Weights &amp; Method'!$B$6*100*D10</f>
        <v>61.097</v>
      </c>
      <c r="N10" s="36">
        <v>37</v>
      </c>
      <c r="O10" t="str" s="37" cm="1">
        <f t="array" ref="O10">IF(N10&lt;='Weights &amp; Method'!$B$13,"Yes","No")</f>
        <v>Yes</v>
      </c>
      <c r="P10" s="18">
        <v>68</v>
      </c>
      <c r="Q10" t="s" s="27">
        <v>167</v>
      </c>
    </row>
    <row r="11" ht="14.6" customHeight="1">
      <c r="A11" t="s" s="27">
        <v>170</v>
      </c>
      <c r="B11" t="s" s="27">
        <v>171</v>
      </c>
      <c r="C11" t="s" s="27">
        <v>147</v>
      </c>
      <c r="D11" s="18">
        <v>1</v>
      </c>
      <c r="E11" t="s" s="27">
        <v>148</v>
      </c>
      <c r="F11" s="18">
        <v>30</v>
      </c>
      <c r="G11" s="18">
        <v>21</v>
      </c>
      <c r="H11" s="18">
        <v>78.40000000000001</v>
      </c>
      <c r="I11" s="18">
        <v>47.8</v>
      </c>
      <c r="J11" s="18">
        <v>58.8</v>
      </c>
      <c r="K11" s="36" cm="1">
        <f t="array" ref="K11">'Weights &amp; Method'!$B$10*I11+'Weights &amp; Method'!$B$11*J11</f>
        <v>52.2</v>
      </c>
      <c r="L11" s="36">
        <v>56.2</v>
      </c>
      <c r="M11" s="36" cm="1">
        <f t="array" ref="M11">'Weights &amp; Method'!$B$4*K11+'Weights &amp; Method'!$B$5*L11+'Weights &amp; Method'!$B$6*100*D11</f>
        <v>60.57</v>
      </c>
      <c r="N11" s="36">
        <v>38</v>
      </c>
      <c r="O11" t="str" s="37" cm="1">
        <f t="array" ref="O11">IF(N11&lt;='Weights &amp; Method'!$B$13,"Yes","No")</f>
        <v>Yes</v>
      </c>
      <c r="P11" s="18">
        <v>69</v>
      </c>
      <c r="Q11" t="s" s="27">
        <v>172</v>
      </c>
    </row>
    <row r="12" ht="14.6" customHeight="1">
      <c r="A12" t="s" s="27">
        <v>173</v>
      </c>
      <c r="B12" t="s" s="27">
        <v>174</v>
      </c>
      <c r="C12" t="s" s="27">
        <v>147</v>
      </c>
      <c r="D12" s="18">
        <v>0</v>
      </c>
      <c r="E12" t="s" s="27">
        <v>148</v>
      </c>
      <c r="F12" s="18">
        <v>42</v>
      </c>
      <c r="G12" s="18">
        <v>27</v>
      </c>
      <c r="H12" s="18">
        <v>65.90000000000001</v>
      </c>
      <c r="I12" s="18">
        <v>38.4</v>
      </c>
      <c r="J12" s="18">
        <v>79</v>
      </c>
      <c r="K12" s="36" cm="1">
        <f t="array" ref="K12">'Weights &amp; Method'!$B$10*I12+'Weights &amp; Method'!$B$11*J12</f>
        <v>54.64</v>
      </c>
      <c r="L12" s="36">
        <v>98.59999999999999</v>
      </c>
      <c r="M12" s="36" cm="1">
        <f t="array" ref="M12">'Weights &amp; Method'!$B$4*K12+'Weights &amp; Method'!$B$5*L12+'Weights &amp; Method'!$B$6*100*D12</f>
        <v>59.632</v>
      </c>
      <c r="N12" s="36">
        <v>41</v>
      </c>
      <c r="O12" t="str" s="37" cm="1">
        <f t="array" ref="O12">IF(N12&lt;='Weights &amp; Method'!$B$13,"Yes","No")</f>
        <v>No</v>
      </c>
      <c r="P12" s="18">
        <v>16</v>
      </c>
      <c r="Q12" t="s" s="27">
        <v>167</v>
      </c>
    </row>
    <row r="13" ht="14.6" customHeight="1">
      <c r="A13" t="s" s="27">
        <v>176</v>
      </c>
      <c r="B13" t="s" s="27">
        <v>177</v>
      </c>
      <c r="C13" t="s" s="27">
        <v>147</v>
      </c>
      <c r="D13" s="18">
        <v>0</v>
      </c>
      <c r="E13" t="s" s="27">
        <v>148</v>
      </c>
      <c r="F13" s="18">
        <v>30</v>
      </c>
      <c r="G13" s="18">
        <v>17</v>
      </c>
      <c r="H13" s="18">
        <v>82.90000000000001</v>
      </c>
      <c r="I13" s="18">
        <v>57.5</v>
      </c>
      <c r="J13" s="18">
        <v>53.1</v>
      </c>
      <c r="K13" s="36" cm="1">
        <f t="array" ref="K13">'Weights &amp; Method'!$B$10*I13+'Weights &amp; Method'!$B$11*J13</f>
        <v>55.74</v>
      </c>
      <c r="L13" s="36">
        <v>83.3</v>
      </c>
      <c r="M13" s="36" cm="1">
        <f t="array" ref="M13">'Weights &amp; Method'!$B$4*K13+'Weights &amp; Method'!$B$5*L13+'Weights &amp; Method'!$B$6*100*D13</f>
        <v>55.647</v>
      </c>
      <c r="N13" s="36">
        <v>50</v>
      </c>
      <c r="O13" t="str" s="37" cm="1">
        <f t="array" ref="O13">IF(N13&lt;='Weights &amp; Method'!$B$13,"Yes","No")</f>
        <v>No</v>
      </c>
      <c r="P13" s="18">
        <v>28</v>
      </c>
      <c r="Q13" s="18"/>
    </row>
    <row r="14" ht="14.6" customHeight="1">
      <c r="A14" t="s" s="27">
        <v>178</v>
      </c>
      <c r="B14" t="s" s="27">
        <v>179</v>
      </c>
      <c r="C14" t="s" s="27">
        <v>147</v>
      </c>
      <c r="D14" s="18">
        <v>0</v>
      </c>
      <c r="E14" t="s" s="27">
        <v>148</v>
      </c>
      <c r="F14" s="18">
        <v>34</v>
      </c>
      <c r="G14" s="18">
        <v>19</v>
      </c>
      <c r="H14" s="18">
        <v>77.7</v>
      </c>
      <c r="I14" s="18">
        <v>51.1</v>
      </c>
      <c r="J14" s="18">
        <v>59.8</v>
      </c>
      <c r="K14" s="36" cm="1">
        <f t="array" ref="K14">'Weights &amp; Method'!$B$10*I14+'Weights &amp; Method'!$B$11*J14</f>
        <v>54.58</v>
      </c>
      <c r="L14" s="36">
        <v>84.8</v>
      </c>
      <c r="M14" s="36" cm="1">
        <f t="array" ref="M14">'Weights &amp; Method'!$B$4*K14+'Weights &amp; Method'!$B$5*L14+'Weights &amp; Method'!$B$6*100*D14</f>
        <v>55.459</v>
      </c>
      <c r="N14" s="36">
        <v>51</v>
      </c>
      <c r="O14" t="str" s="37" cm="1">
        <f t="array" ref="O14">IF(N14&lt;='Weights &amp; Method'!$B$13,"Yes","No")</f>
        <v>No</v>
      </c>
      <c r="P14" s="18">
        <v>29</v>
      </c>
      <c r="Q14" s="18"/>
    </row>
    <row r="15" ht="14.6" customHeight="1">
      <c r="A15" t="s" s="27">
        <v>180</v>
      </c>
      <c r="B15" t="s" s="27">
        <v>181</v>
      </c>
      <c r="C15" t="s" s="27">
        <v>147</v>
      </c>
      <c r="D15" s="18">
        <v>0</v>
      </c>
      <c r="E15" t="s" s="27">
        <v>148</v>
      </c>
      <c r="F15" s="18">
        <v>34</v>
      </c>
      <c r="G15" s="18">
        <v>21</v>
      </c>
      <c r="H15" s="18">
        <v>61.3</v>
      </c>
      <c r="I15" s="18">
        <v>30.5</v>
      </c>
      <c r="J15" s="18">
        <v>62.7</v>
      </c>
      <c r="K15" s="36" cm="1">
        <f t="array" ref="K15">'Weights &amp; Method'!$B$10*I15+'Weights &amp; Method'!$B$11*J15</f>
        <v>43.38</v>
      </c>
      <c r="L15" s="36">
        <v>84.90000000000001</v>
      </c>
      <c r="M15" s="36" cm="1">
        <f t="array" ref="M15">'Weights &amp; Method'!$B$4*K15+'Weights &amp; Method'!$B$5*L15+'Weights &amp; Method'!$B$6*100*D15</f>
        <v>49.329</v>
      </c>
      <c r="N15" s="36">
        <v>65</v>
      </c>
      <c r="O15" t="str" s="37" cm="1">
        <f t="array" ref="O15">IF(N15&lt;='Weights &amp; Method'!$B$13,"Yes","No")</f>
        <v>No</v>
      </c>
      <c r="P15" s="18">
        <v>54</v>
      </c>
      <c r="Q15" t="s" s="27">
        <v>167</v>
      </c>
    </row>
    <row r="16" ht="14.6" customHeight="1">
      <c r="A16" t="s" s="27">
        <v>182</v>
      </c>
      <c r="B16" t="s" s="27">
        <v>183</v>
      </c>
      <c r="C16" t="s" s="27">
        <v>147</v>
      </c>
      <c r="D16" s="18">
        <v>0</v>
      </c>
      <c r="E16" t="s" s="27">
        <v>148</v>
      </c>
      <c r="F16" s="18">
        <v>10</v>
      </c>
      <c r="G16" s="18">
        <v>3</v>
      </c>
      <c r="H16" s="18">
        <v>79.5</v>
      </c>
      <c r="I16" s="18">
        <v>53.7</v>
      </c>
      <c r="J16" s="18">
        <v>13.9</v>
      </c>
      <c r="K16" s="36" cm="1">
        <f t="array" ref="K16">'Weights &amp; Method'!$B$10*I16+'Weights &amp; Method'!$B$11*J16</f>
        <v>37.78</v>
      </c>
      <c r="L16" s="36">
        <v>89</v>
      </c>
      <c r="M16" s="36" cm="1">
        <f t="array" ref="M16">'Weights &amp; Method'!$B$4*K16+'Weights &amp; Method'!$B$5*L16+'Weights &amp; Method'!$B$6*100*D16</f>
        <v>47.479</v>
      </c>
      <c r="N16" s="36">
        <v>75</v>
      </c>
      <c r="O16" t="str" s="37" cm="1">
        <f t="array" ref="O16">IF(N16&lt;='Weights &amp; Method'!$B$13,"Yes","No")</f>
        <v>No</v>
      </c>
      <c r="P16" s="18">
        <v>65</v>
      </c>
      <c r="Q16" t="s" s="27">
        <v>184</v>
      </c>
    </row>
    <row r="17" ht="14.6" customHeight="1">
      <c r="A17" t="s" s="27">
        <v>185</v>
      </c>
      <c r="B17" t="s" s="27">
        <v>186</v>
      </c>
      <c r="C17" t="s" s="27">
        <v>147</v>
      </c>
      <c r="D17" s="18">
        <v>0</v>
      </c>
      <c r="E17" t="s" s="27">
        <v>148</v>
      </c>
      <c r="F17" s="18">
        <v>14</v>
      </c>
      <c r="G17" s="18">
        <v>5</v>
      </c>
      <c r="H17" s="18">
        <v>47.5</v>
      </c>
      <c r="I17" s="18">
        <v>27.2</v>
      </c>
      <c r="J17" s="18">
        <v>20.6</v>
      </c>
      <c r="K17" s="36" cm="1">
        <f t="array" ref="K17">'Weights &amp; Method'!$B$10*I17+'Weights &amp; Method'!$B$11*J17</f>
        <v>24.56</v>
      </c>
      <c r="L17" s="36">
        <v>100</v>
      </c>
      <c r="M17" s="36" cm="1">
        <f t="array" ref="M17">'Weights &amp; Method'!$B$4*K17+'Weights &amp; Method'!$B$5*L17+'Weights &amp; Method'!$B$6*100*D17</f>
        <v>43.508</v>
      </c>
      <c r="N17" s="36">
        <v>79</v>
      </c>
      <c r="O17" t="str" s="37" cm="1">
        <f t="array" ref="O17">IF(N17&lt;='Weights &amp; Method'!$B$13,"Yes","No")</f>
        <v>No</v>
      </c>
      <c r="P17" s="18">
        <v>75</v>
      </c>
      <c r="Q17" t="s" s="27">
        <v>187</v>
      </c>
    </row>
    <row r="18" ht="14.6" customHeight="1">
      <c r="A18" t="s" s="27">
        <v>188</v>
      </c>
      <c r="B18" t="s" s="27">
        <v>189</v>
      </c>
      <c r="C18" t="s" s="27">
        <v>147</v>
      </c>
      <c r="D18" s="18">
        <v>0</v>
      </c>
      <c r="E18" t="s" s="27">
        <v>148</v>
      </c>
      <c r="F18" s="18">
        <v>2</v>
      </c>
      <c r="G18" s="18">
        <v>0</v>
      </c>
      <c r="H18" s="18">
        <v>52.4</v>
      </c>
      <c r="I18" s="18">
        <v>43.3</v>
      </c>
      <c r="J18" s="18">
        <v>1.9</v>
      </c>
      <c r="K18" s="36" cm="1">
        <f t="array" ref="K18">'Weights &amp; Method'!$B$10*I18+'Weights &amp; Method'!$B$11*J18</f>
        <v>26.74</v>
      </c>
      <c r="L18" s="36">
        <v>93.2</v>
      </c>
      <c r="M18" s="36" cm="1">
        <f t="array" ref="M18">'Weights &amp; Method'!$B$4*K18+'Weights &amp; Method'!$B$5*L18+'Weights &amp; Method'!$B$6*100*D18</f>
        <v>42.667</v>
      </c>
      <c r="N18" s="36">
        <v>82</v>
      </c>
      <c r="O18" t="str" s="37" cm="1">
        <f t="array" ref="O18">IF(N18&lt;='Weights &amp; Method'!$B$13,"Yes","No")</f>
        <v>No</v>
      </c>
      <c r="P18" s="18">
        <v>78</v>
      </c>
      <c r="Q18" t="s" s="27">
        <v>190</v>
      </c>
    </row>
    <row r="19" ht="14.6" customHeight="1">
      <c r="A19" t="s" s="27">
        <v>191</v>
      </c>
      <c r="B19" t="s" s="27">
        <v>192</v>
      </c>
      <c r="C19" t="s" s="27">
        <v>147</v>
      </c>
      <c r="D19" s="18">
        <v>0</v>
      </c>
      <c r="E19" t="s" s="27">
        <v>148</v>
      </c>
      <c r="F19" s="18">
        <v>10</v>
      </c>
      <c r="G19" s="18">
        <v>7</v>
      </c>
      <c r="H19" s="18">
        <v>91.7</v>
      </c>
      <c r="I19" s="18">
        <v>51.7</v>
      </c>
      <c r="J19" s="18">
        <v>19.6</v>
      </c>
      <c r="K19" s="36" cm="1">
        <f t="array" ref="K19">'Weights &amp; Method'!$B$10*I19+'Weights &amp; Method'!$B$11*J19</f>
        <v>38.86</v>
      </c>
      <c r="L19" s="36">
        <v>67.59999999999999</v>
      </c>
      <c r="M19" s="36" cm="1">
        <f t="array" ref="M19">'Weights &amp; Method'!$B$4*K19+'Weights &amp; Method'!$B$5*L19+'Weights &amp; Method'!$B$6*100*D19</f>
        <v>41.653</v>
      </c>
      <c r="N19" s="36">
        <v>85</v>
      </c>
      <c r="O19" t="str" s="37" cm="1">
        <f t="array" ref="O19">IF(N19&lt;='Weights &amp; Method'!$B$13,"Yes","No")</f>
        <v>No</v>
      </c>
      <c r="P19" s="18">
        <v>83</v>
      </c>
      <c r="Q19" t="s" s="27">
        <v>193</v>
      </c>
    </row>
    <row r="20" ht="14.6" customHeight="1">
      <c r="A20" t="s" s="27">
        <v>194</v>
      </c>
      <c r="B20" t="s" s="27">
        <v>195</v>
      </c>
      <c r="C20" t="s" s="27">
        <v>147</v>
      </c>
      <c r="D20" s="18">
        <v>0</v>
      </c>
      <c r="E20" t="s" s="27">
        <v>148</v>
      </c>
      <c r="F20" s="18">
        <v>11</v>
      </c>
      <c r="G20" s="18">
        <v>6</v>
      </c>
      <c r="H20" s="18">
        <v>10.2</v>
      </c>
      <c r="I20" s="18">
        <v>19</v>
      </c>
      <c r="J20" s="18">
        <v>19.1</v>
      </c>
      <c r="K20" s="36" cm="1">
        <f t="array" ref="K20">'Weights &amp; Method'!$B$10*I20+'Weights &amp; Method'!$B$11*J20</f>
        <v>19.04</v>
      </c>
      <c r="L20" s="36">
        <v>100</v>
      </c>
      <c r="M20" s="36" cm="1">
        <f t="array" ref="M20">'Weights &amp; Method'!$B$4*K20+'Weights &amp; Method'!$B$5*L20+'Weights &amp; Method'!$B$6*100*D20</f>
        <v>40.472</v>
      </c>
      <c r="N20" s="36">
        <v>89</v>
      </c>
      <c r="O20" t="str" s="37" cm="1">
        <f t="array" ref="O20">IF(N20&lt;='Weights &amp; Method'!$B$13,"Yes","No")</f>
        <v>No</v>
      </c>
      <c r="P20" s="18">
        <v>89</v>
      </c>
      <c r="Q20" t="s" s="27">
        <v>196</v>
      </c>
    </row>
    <row r="21" ht="14.6" customHeight="1">
      <c r="A21" t="s" s="27">
        <v>197</v>
      </c>
      <c r="B21" t="s" s="27">
        <v>198</v>
      </c>
      <c r="C21" t="s" s="27">
        <v>147</v>
      </c>
      <c r="D21" s="18">
        <v>0</v>
      </c>
      <c r="E21" t="s" s="27">
        <v>148</v>
      </c>
      <c r="F21" s="18">
        <v>8</v>
      </c>
      <c r="G21" s="18">
        <v>2</v>
      </c>
      <c r="H21" s="18">
        <v>66.5</v>
      </c>
      <c r="I21" s="18">
        <v>44.3</v>
      </c>
      <c r="J21" s="18">
        <v>10.5</v>
      </c>
      <c r="K21" s="36" cm="1">
        <f t="array" ref="K21">'Weights &amp; Method'!$B$10*I21+'Weights &amp; Method'!$B$11*J21</f>
        <v>30.78</v>
      </c>
      <c r="L21" s="36">
        <v>51.5</v>
      </c>
      <c r="M21" s="36" cm="1">
        <f t="array" ref="M21">'Weights &amp; Method'!$B$4*K21+'Weights &amp; Method'!$B$5*L21+'Weights &amp; Method'!$B$6*100*D21</f>
        <v>32.379</v>
      </c>
      <c r="N21" s="36">
        <v>104</v>
      </c>
      <c r="O21" t="str" s="37" cm="1">
        <f t="array" ref="O21">IF(N21&lt;='Weights &amp; Method'!$B$13,"Yes","No")</f>
        <v>No</v>
      </c>
      <c r="P21" s="18">
        <v>104</v>
      </c>
      <c r="Q21" t="s" s="27">
        <v>199</v>
      </c>
    </row>
    <row r="22" ht="14.6" customHeight="1">
      <c r="A22" t="s" s="27">
        <v>200</v>
      </c>
      <c r="B22" t="s" s="27">
        <v>201</v>
      </c>
      <c r="C22" t="s" s="27">
        <v>147</v>
      </c>
      <c r="D22" s="18">
        <v>0</v>
      </c>
      <c r="E22" t="s" s="27">
        <v>148</v>
      </c>
      <c r="F22" s="18">
        <v>0</v>
      </c>
      <c r="G22" s="18">
        <v>0</v>
      </c>
      <c r="H22" s="18"/>
      <c r="I22" s="18">
        <v>0</v>
      </c>
      <c r="J22" s="18">
        <v>0</v>
      </c>
      <c r="K22" s="36" cm="1">
        <f t="array" ref="K22">'Weights &amp; Method'!$B$10*I22+'Weights &amp; Method'!$B$11*J22</f>
        <v>0</v>
      </c>
      <c r="L22" s="36">
        <v>82.2</v>
      </c>
      <c r="M22" s="36" cm="1">
        <f t="array" ref="M22">'Weights &amp; Method'!$B$4*K22+'Weights &amp; Method'!$B$5*L22+'Weights &amp; Method'!$B$6*100*D22</f>
        <v>24.66</v>
      </c>
      <c r="N22" s="36">
        <v>112</v>
      </c>
      <c r="O22" t="str" s="37" cm="1">
        <f t="array" ref="O22">IF(N22&lt;='Weights &amp; Method'!$B$13,"Yes","No")</f>
        <v>No</v>
      </c>
      <c r="P22" s="18">
        <v>112</v>
      </c>
      <c r="Q22" t="s" s="27">
        <v>202</v>
      </c>
    </row>
    <row r="23" ht="14.6" customHeight="1">
      <c r="A23" t="s" s="27">
        <v>203</v>
      </c>
      <c r="B23" t="s" s="27">
        <v>204</v>
      </c>
      <c r="C23" t="s" s="27">
        <v>147</v>
      </c>
      <c r="D23" s="18">
        <v>0</v>
      </c>
      <c r="E23" t="s" s="27">
        <v>148</v>
      </c>
      <c r="F23" s="18">
        <v>0</v>
      </c>
      <c r="G23" s="18">
        <v>0</v>
      </c>
      <c r="H23" s="18"/>
      <c r="I23" s="18">
        <v>0</v>
      </c>
      <c r="J23" s="18">
        <v>0</v>
      </c>
      <c r="K23" s="36" cm="1">
        <f t="array" ref="K23">'Weights &amp; Method'!$B$10*I23+'Weights &amp; Method'!$B$11*J23</f>
        <v>0</v>
      </c>
      <c r="L23" s="36">
        <v>0</v>
      </c>
      <c r="M23" s="36" cm="1">
        <f t="array" ref="M23">'Weights &amp; Method'!$B$4*K23+'Weights &amp; Method'!$B$5*L23+'Weights &amp; Method'!$B$6*100*D23</f>
        <v>0</v>
      </c>
      <c r="N23" s="36" cm="1">
        <f t="array" ref="N23">RANK(M23,$M$2:$M$124)+COUNTIF($M$2:M124,M23)-1</f>
        <v>123</v>
      </c>
      <c r="O23" t="str" s="37" cm="1">
        <f t="array" ref="O23">IF(N23&lt;='Weights &amp; Method'!$B$13,"Yes","No")</f>
        <v>No</v>
      </c>
      <c r="P23" s="18">
        <v>123</v>
      </c>
      <c r="Q23" t="s" s="27">
        <v>205</v>
      </c>
    </row>
    <row r="24" ht="14.6" customHeight="1">
      <c r="A24" t="s" s="27">
        <v>206</v>
      </c>
      <c r="B24" t="s" s="27">
        <v>207</v>
      </c>
      <c r="C24" t="s" s="27">
        <v>208</v>
      </c>
      <c r="D24" s="18">
        <v>1</v>
      </c>
      <c r="E24" t="s" s="27">
        <v>209</v>
      </c>
      <c r="F24" s="18">
        <v>45</v>
      </c>
      <c r="G24" s="18">
        <v>31</v>
      </c>
      <c r="H24" s="18">
        <v>87.40000000000001</v>
      </c>
      <c r="I24" s="18">
        <v>61</v>
      </c>
      <c r="J24" s="18">
        <v>87.59999999999999</v>
      </c>
      <c r="K24" s="36" cm="1">
        <f t="array" ref="K24">'Weights &amp; Method'!$B$10*I24+'Weights &amp; Method'!$B$11*J24</f>
        <v>71.64</v>
      </c>
      <c r="L24" s="36">
        <v>77.90000000000001</v>
      </c>
      <c r="M24" s="36" cm="1">
        <f t="array" ref="M24">'Weights &amp; Method'!$B$4*K24+'Weights &amp; Method'!$B$5*L24+'Weights &amp; Method'!$B$6*100*D24</f>
        <v>77.77200000000001</v>
      </c>
      <c r="N24" s="36">
        <v>3</v>
      </c>
      <c r="O24" t="str" s="37" cm="1">
        <f t="array" ref="O24">IF(N24&lt;='Weights &amp; Method'!$B$13,"Yes","No")</f>
        <v>Yes</v>
      </c>
      <c r="P24" s="18">
        <v>9</v>
      </c>
      <c r="Q24" s="18"/>
    </row>
    <row r="25" ht="14.6" customHeight="1">
      <c r="A25" t="s" s="27">
        <v>210</v>
      </c>
      <c r="B25" t="s" s="27">
        <v>211</v>
      </c>
      <c r="C25" t="s" s="27">
        <v>208</v>
      </c>
      <c r="D25" s="18">
        <v>1</v>
      </c>
      <c r="E25" t="s" s="27">
        <v>209</v>
      </c>
      <c r="F25" s="18">
        <v>42</v>
      </c>
      <c r="G25" s="18">
        <v>29</v>
      </c>
      <c r="H25" s="18">
        <v>72.5</v>
      </c>
      <c r="I25" s="18">
        <v>39.1</v>
      </c>
      <c r="J25" s="18">
        <v>81.8</v>
      </c>
      <c r="K25" s="36" cm="1">
        <f t="array" ref="K25">'Weights &amp; Method'!$B$10*I25+'Weights &amp; Method'!$B$11*J25</f>
        <v>56.18</v>
      </c>
      <c r="L25" s="36">
        <v>90.90000000000001</v>
      </c>
      <c r="M25" s="36" cm="1">
        <f t="array" ref="M25">'Weights &amp; Method'!$B$4*K25+'Weights &amp; Method'!$B$5*L25+'Weights &amp; Method'!$B$6*100*D25</f>
        <v>73.169</v>
      </c>
      <c r="N25" s="36">
        <v>7</v>
      </c>
      <c r="O25" t="str" s="37" cm="1">
        <f t="array" ref="O25">IF(N25&lt;='Weights &amp; Method'!$B$13,"Yes","No")</f>
        <v>Yes</v>
      </c>
      <c r="P25" s="18">
        <v>20</v>
      </c>
      <c r="Q25" t="s" s="27">
        <v>167</v>
      </c>
    </row>
    <row r="26" ht="14.6" customHeight="1">
      <c r="A26" t="s" s="27">
        <v>212</v>
      </c>
      <c r="B26" t="s" s="27">
        <v>213</v>
      </c>
      <c r="C26" t="s" s="27">
        <v>208</v>
      </c>
      <c r="D26" s="18">
        <v>1</v>
      </c>
      <c r="E26" t="s" s="27">
        <v>209</v>
      </c>
      <c r="F26" s="18">
        <v>33</v>
      </c>
      <c r="G26" s="18">
        <v>21</v>
      </c>
      <c r="H26" s="18">
        <v>72.2</v>
      </c>
      <c r="I26" s="18">
        <v>49</v>
      </c>
      <c r="J26" s="18">
        <v>61.7</v>
      </c>
      <c r="K26" s="36" cm="1">
        <f t="array" ref="K26">'Weights &amp; Method'!$B$10*I26+'Weights &amp; Method'!$B$11*J26</f>
        <v>54.08</v>
      </c>
      <c r="L26" s="36">
        <v>85.7</v>
      </c>
      <c r="M26" s="36" cm="1">
        <f t="array" ref="M26">'Weights &amp; Method'!$B$4*K26+'Weights &amp; Method'!$B$5*L26+'Weights &amp; Method'!$B$6*100*D26</f>
        <v>70.45399999999999</v>
      </c>
      <c r="N26" s="36">
        <v>13</v>
      </c>
      <c r="O26" t="str" s="37" cm="1">
        <f t="array" ref="O26">IF(N26&lt;='Weights &amp; Method'!$B$13,"Yes","No")</f>
        <v>Yes</v>
      </c>
      <c r="P26" s="18">
        <v>30</v>
      </c>
      <c r="Q26" s="18"/>
    </row>
    <row r="27" ht="14.6" customHeight="1">
      <c r="A27" t="s" s="27">
        <v>214</v>
      </c>
      <c r="B27" t="s" s="27">
        <v>215</v>
      </c>
      <c r="C27" t="s" s="27">
        <v>208</v>
      </c>
      <c r="D27" s="18">
        <v>1</v>
      </c>
      <c r="E27" t="s" s="27">
        <v>209</v>
      </c>
      <c r="F27" s="18">
        <v>28</v>
      </c>
      <c r="G27" s="18">
        <v>17</v>
      </c>
      <c r="H27" s="18">
        <v>74.7</v>
      </c>
      <c r="I27" s="18">
        <v>46.1</v>
      </c>
      <c r="J27" s="18">
        <v>51.2</v>
      </c>
      <c r="K27" s="36" cm="1">
        <f t="array" ref="K27">'Weights &amp; Method'!$B$10*I27+'Weights &amp; Method'!$B$11*J27</f>
        <v>48.14</v>
      </c>
      <c r="L27" s="36">
        <v>94.8</v>
      </c>
      <c r="M27" s="36" cm="1">
        <f t="array" ref="M27">'Weights &amp; Method'!$B$4*K27+'Weights &amp; Method'!$B$5*L27+'Weights &amp; Method'!$B$6*100*D27</f>
        <v>69.917</v>
      </c>
      <c r="N27" s="36">
        <v>14</v>
      </c>
      <c r="O27" t="str" s="37" cm="1">
        <f t="array" ref="O27">IF(N27&lt;='Weights &amp; Method'!$B$13,"Yes","No")</f>
        <v>Yes</v>
      </c>
      <c r="P27" s="18">
        <v>31</v>
      </c>
      <c r="Q27" s="18"/>
    </row>
    <row r="28" ht="14.6" customHeight="1">
      <c r="A28" t="s" s="27">
        <v>216</v>
      </c>
      <c r="B28" t="s" s="27">
        <v>217</v>
      </c>
      <c r="C28" t="s" s="27">
        <v>208</v>
      </c>
      <c r="D28" s="18">
        <v>1</v>
      </c>
      <c r="E28" t="s" s="27">
        <v>209</v>
      </c>
      <c r="F28" s="18">
        <v>20</v>
      </c>
      <c r="G28" s="18">
        <v>7</v>
      </c>
      <c r="H28" s="18">
        <v>79.09999999999999</v>
      </c>
      <c r="I28" s="18">
        <v>58.8</v>
      </c>
      <c r="J28" s="18">
        <v>29.2</v>
      </c>
      <c r="K28" s="36" cm="1">
        <f t="array" ref="K28">'Weights &amp; Method'!$B$10*I28+'Weights &amp; Method'!$B$11*J28</f>
        <v>46.96</v>
      </c>
      <c r="L28" s="36">
        <v>89.59999999999999</v>
      </c>
      <c r="M28" s="36" cm="1">
        <f t="array" ref="M28">'Weights &amp; Method'!$B$4*K28+'Weights &amp; Method'!$B$5*L28+'Weights &amp; Method'!$B$6*100*D28</f>
        <v>67.708</v>
      </c>
      <c r="N28" s="36">
        <v>18</v>
      </c>
      <c r="O28" t="str" s="37" cm="1">
        <f t="array" ref="O28">IF(N28&lt;='Weights &amp; Method'!$B$13,"Yes","No")</f>
        <v>Yes</v>
      </c>
      <c r="P28" s="18">
        <v>40</v>
      </c>
      <c r="Q28" s="18"/>
    </row>
    <row r="29" ht="14.6" customHeight="1">
      <c r="A29" t="s" s="27">
        <v>218</v>
      </c>
      <c r="B29" t="s" s="27">
        <v>219</v>
      </c>
      <c r="C29" t="s" s="27">
        <v>208</v>
      </c>
      <c r="D29" s="18">
        <v>1</v>
      </c>
      <c r="E29" t="s" s="27">
        <v>209</v>
      </c>
      <c r="F29" s="18">
        <v>32</v>
      </c>
      <c r="G29" s="18">
        <v>28</v>
      </c>
      <c r="H29" s="18">
        <v>81.40000000000001</v>
      </c>
      <c r="I29" s="18">
        <v>57.7</v>
      </c>
      <c r="J29" s="18">
        <v>70.8</v>
      </c>
      <c r="K29" s="36" cm="1">
        <f t="array" ref="K29">'Weights &amp; Method'!$B$10*I29+'Weights &amp; Method'!$B$11*J29</f>
        <v>62.94</v>
      </c>
      <c r="L29" s="36">
        <v>60.3</v>
      </c>
      <c r="M29" s="36" cm="1">
        <f t="array" ref="M29">'Weights &amp; Method'!$B$4*K29+'Weights &amp; Method'!$B$5*L29+'Weights &amp; Method'!$B$6*100*D29</f>
        <v>67.70699999999999</v>
      </c>
      <c r="N29" s="36">
        <v>19</v>
      </c>
      <c r="O29" t="str" s="37" cm="1">
        <f t="array" ref="O29">IF(N29&lt;='Weights &amp; Method'!$B$13,"Yes","No")</f>
        <v>Yes</v>
      </c>
      <c r="P29" s="18">
        <v>39</v>
      </c>
      <c r="Q29" t="s" s="27">
        <v>220</v>
      </c>
    </row>
    <row r="30" ht="14.6" customHeight="1">
      <c r="A30" t="s" s="27">
        <v>221</v>
      </c>
      <c r="B30" t="s" s="27">
        <v>222</v>
      </c>
      <c r="C30" t="s" s="27">
        <v>208</v>
      </c>
      <c r="D30" s="18">
        <v>0</v>
      </c>
      <c r="E30" t="s" s="27">
        <v>209</v>
      </c>
      <c r="F30" s="18">
        <v>35</v>
      </c>
      <c r="G30" s="18">
        <v>21</v>
      </c>
      <c r="H30" s="18">
        <v>88.2</v>
      </c>
      <c r="I30" s="18">
        <v>60.4</v>
      </c>
      <c r="J30" s="18">
        <v>63.7</v>
      </c>
      <c r="K30" s="36" cm="1">
        <f t="array" ref="K30">'Weights &amp; Method'!$B$10*I30+'Weights &amp; Method'!$B$11*J30</f>
        <v>61.72</v>
      </c>
      <c r="L30" s="36">
        <v>92.2</v>
      </c>
      <c r="M30" s="36" cm="1">
        <f t="array" ref="M30">'Weights &amp; Method'!$B$4*K30+'Weights &amp; Method'!$B$5*L30+'Weights &amp; Method'!$B$6*100*D30</f>
        <v>61.606</v>
      </c>
      <c r="N30" s="36">
        <v>35</v>
      </c>
      <c r="O30" t="str" s="37" cm="1">
        <f t="array" ref="O30">IF(N30&lt;='Weights &amp; Method'!$B$13,"Yes","No")</f>
        <v>Yes</v>
      </c>
      <c r="P30" s="18">
        <v>12</v>
      </c>
      <c r="Q30" t="s" s="27">
        <v>156</v>
      </c>
    </row>
    <row r="31" ht="14.6" customHeight="1">
      <c r="A31" t="s" s="27">
        <v>223</v>
      </c>
      <c r="B31" t="s" s="27">
        <v>224</v>
      </c>
      <c r="C31" t="s" s="27">
        <v>208</v>
      </c>
      <c r="D31" s="18">
        <v>0</v>
      </c>
      <c r="E31" t="s" s="27">
        <v>209</v>
      </c>
      <c r="F31" s="18">
        <v>36</v>
      </c>
      <c r="G31" s="18">
        <v>25</v>
      </c>
      <c r="H31" s="18">
        <v>70.2</v>
      </c>
      <c r="I31" s="18">
        <v>44</v>
      </c>
      <c r="J31" s="18">
        <v>70.3</v>
      </c>
      <c r="K31" s="36" cm="1">
        <f t="array" ref="K31">'Weights &amp; Method'!$B$10*I31+'Weights &amp; Method'!$B$11*J31</f>
        <v>54.52</v>
      </c>
      <c r="L31" s="36">
        <v>94.8</v>
      </c>
      <c r="M31" s="36" cm="1">
        <f t="array" ref="M31">'Weights &amp; Method'!$B$4*K31+'Weights &amp; Method'!$B$5*L31+'Weights &amp; Method'!$B$6*100*D31</f>
        <v>58.426</v>
      </c>
      <c r="N31" s="36">
        <v>44</v>
      </c>
      <c r="O31" t="str" s="37" cm="1">
        <f t="array" ref="O31">IF(N31&lt;='Weights &amp; Method'!$B$13,"Yes","No")</f>
        <v>No</v>
      </c>
      <c r="P31" s="18">
        <v>19</v>
      </c>
      <c r="Q31" s="18"/>
    </row>
    <row r="32" ht="14.6" customHeight="1">
      <c r="A32" t="s" s="27">
        <v>225</v>
      </c>
      <c r="B32" t="s" s="27">
        <v>226</v>
      </c>
      <c r="C32" t="s" s="27">
        <v>208</v>
      </c>
      <c r="D32" s="18">
        <v>0</v>
      </c>
      <c r="E32" t="s" s="27">
        <v>209</v>
      </c>
      <c r="F32" s="18">
        <v>31</v>
      </c>
      <c r="G32" s="18">
        <v>18</v>
      </c>
      <c r="H32" s="18">
        <v>78.40000000000001</v>
      </c>
      <c r="I32" s="18">
        <v>48.4</v>
      </c>
      <c r="J32" s="18">
        <v>55.5</v>
      </c>
      <c r="K32" s="36" cm="1">
        <f t="array" ref="K32">'Weights &amp; Method'!$B$10*I32+'Weights &amp; Method'!$B$11*J32</f>
        <v>51.24</v>
      </c>
      <c r="L32" s="36">
        <v>98.7</v>
      </c>
      <c r="M32" s="36" cm="1">
        <f t="array" ref="M32">'Weights &amp; Method'!$B$4*K32+'Weights &amp; Method'!$B$5*L32+'Weights &amp; Method'!$B$6*100*D32</f>
        <v>57.792</v>
      </c>
      <c r="N32" s="36">
        <v>46</v>
      </c>
      <c r="O32" t="str" s="37" cm="1">
        <f t="array" ref="O32">IF(N32&lt;='Weights &amp; Method'!$B$13,"Yes","No")</f>
        <v>No</v>
      </c>
      <c r="P32" s="18">
        <v>22</v>
      </c>
      <c r="Q32" s="18"/>
    </row>
    <row r="33" ht="14.6" customHeight="1">
      <c r="A33" t="s" s="27">
        <v>227</v>
      </c>
      <c r="B33" t="s" s="27">
        <v>228</v>
      </c>
      <c r="C33" t="s" s="27">
        <v>208</v>
      </c>
      <c r="D33" s="18">
        <v>0</v>
      </c>
      <c r="E33" t="s" s="27">
        <v>209</v>
      </c>
      <c r="F33" s="18">
        <v>22</v>
      </c>
      <c r="G33" s="18">
        <v>12</v>
      </c>
      <c r="H33" s="18">
        <v>69.7</v>
      </c>
      <c r="I33" s="18">
        <v>45.3</v>
      </c>
      <c r="J33" s="18">
        <v>38.3</v>
      </c>
      <c r="K33" s="36" cm="1">
        <f t="array" ref="K33">'Weights &amp; Method'!$B$10*I33+'Weights &amp; Method'!$B$11*J33</f>
        <v>42.5</v>
      </c>
      <c r="L33" s="36">
        <v>100</v>
      </c>
      <c r="M33" s="36" cm="1">
        <f t="array" ref="M33">'Weights &amp; Method'!$B$4*K33+'Weights &amp; Method'!$B$5*L33+'Weights &amp; Method'!$B$6*100*D33</f>
        <v>53.375</v>
      </c>
      <c r="N33" s="36">
        <v>54</v>
      </c>
      <c r="O33" t="str" s="37" cm="1">
        <f t="array" ref="O33">IF(N33&lt;='Weights &amp; Method'!$B$13,"Yes","No")</f>
        <v>No</v>
      </c>
      <c r="P33" s="18">
        <v>36</v>
      </c>
      <c r="Q33" s="18"/>
    </row>
    <row r="34" ht="14.6" customHeight="1">
      <c r="A34" t="s" s="27">
        <v>229</v>
      </c>
      <c r="B34" t="s" s="27">
        <v>230</v>
      </c>
      <c r="C34" t="s" s="27">
        <v>208</v>
      </c>
      <c r="D34" s="18">
        <v>0</v>
      </c>
      <c r="E34" t="s" s="27">
        <v>209</v>
      </c>
      <c r="F34" s="18">
        <v>35</v>
      </c>
      <c r="G34" s="18">
        <v>22</v>
      </c>
      <c r="H34" s="18">
        <v>70.3</v>
      </c>
      <c r="I34" s="18">
        <v>41</v>
      </c>
      <c r="J34" s="18">
        <v>65.09999999999999</v>
      </c>
      <c r="K34" s="36" cm="1">
        <f t="array" ref="K34">'Weights &amp; Method'!$B$10*I34+'Weights &amp; Method'!$B$11*J34</f>
        <v>50.64</v>
      </c>
      <c r="L34" s="36">
        <v>84.40000000000001</v>
      </c>
      <c r="M34" s="36" cm="1">
        <f t="array" ref="M34">'Weights &amp; Method'!$B$4*K34+'Weights &amp; Method'!$B$5*L34+'Weights &amp; Method'!$B$6*100*D34</f>
        <v>53.172</v>
      </c>
      <c r="N34" s="36">
        <v>56</v>
      </c>
      <c r="O34" t="str" s="37" cm="1">
        <f t="array" ref="O34">IF(N34&lt;='Weights &amp; Method'!$B$13,"Yes","No")</f>
        <v>No</v>
      </c>
      <c r="P34" s="18">
        <v>37</v>
      </c>
      <c r="Q34" s="18"/>
    </row>
    <row r="35" ht="14.6" customHeight="1">
      <c r="A35" t="s" s="27">
        <v>231</v>
      </c>
      <c r="B35" t="s" s="27">
        <v>232</v>
      </c>
      <c r="C35" t="s" s="27">
        <v>208</v>
      </c>
      <c r="D35" s="18">
        <v>0</v>
      </c>
      <c r="E35" t="s" s="27">
        <v>209</v>
      </c>
      <c r="F35" s="18">
        <v>20</v>
      </c>
      <c r="G35" s="18">
        <v>7</v>
      </c>
      <c r="H35" s="18">
        <v>71.8</v>
      </c>
      <c r="I35" s="18">
        <v>51</v>
      </c>
      <c r="J35" s="18">
        <v>29.2</v>
      </c>
      <c r="K35" s="36" cm="1">
        <f t="array" ref="K35">'Weights &amp; Method'!$B$10*I35+'Weights &amp; Method'!$B$11*J35</f>
        <v>42.28</v>
      </c>
      <c r="L35" s="36">
        <v>96.09999999999999</v>
      </c>
      <c r="M35" s="36" cm="1">
        <f t="array" ref="M35">'Weights &amp; Method'!$B$4*K35+'Weights &amp; Method'!$B$5*L35+'Weights &amp; Method'!$B$6*100*D35</f>
        <v>52.084</v>
      </c>
      <c r="N35" s="36">
        <v>58</v>
      </c>
      <c r="O35" t="str" s="37" cm="1">
        <f t="array" ref="O35">IF(N35&lt;='Weights &amp; Method'!$B$13,"Yes","No")</f>
        <v>No</v>
      </c>
      <c r="P35" s="18">
        <v>44</v>
      </c>
      <c r="Q35" s="18"/>
    </row>
    <row r="36" ht="14.6" customHeight="1">
      <c r="A36" t="s" s="27">
        <v>233</v>
      </c>
      <c r="B36" t="s" s="27">
        <v>234</v>
      </c>
      <c r="C36" t="s" s="27">
        <v>208</v>
      </c>
      <c r="D36" s="18">
        <v>0</v>
      </c>
      <c r="E36" t="s" s="27">
        <v>209</v>
      </c>
      <c r="F36" s="18">
        <v>28</v>
      </c>
      <c r="G36" s="18">
        <v>17</v>
      </c>
      <c r="H36" s="18">
        <v>82</v>
      </c>
      <c r="I36" s="18">
        <v>53.8</v>
      </c>
      <c r="J36" s="18">
        <v>51.2</v>
      </c>
      <c r="K36" s="36" cm="1">
        <f t="array" ref="K36">'Weights &amp; Method'!$B$10*I36+'Weights &amp; Method'!$B$11*J36</f>
        <v>52.76</v>
      </c>
      <c r="L36" s="36">
        <v>68.8</v>
      </c>
      <c r="M36" s="36" cm="1">
        <f t="array" ref="M36">'Weights &amp; Method'!$B$4*K36+'Weights &amp; Method'!$B$5*L36+'Weights &amp; Method'!$B$6*100*D36</f>
        <v>49.658</v>
      </c>
      <c r="N36" s="36">
        <v>64</v>
      </c>
      <c r="O36" t="str" s="37" cm="1">
        <f t="array" ref="O36">IF(N36&lt;='Weights &amp; Method'!$B$13,"Yes","No")</f>
        <v>No</v>
      </c>
      <c r="P36" s="18">
        <v>53</v>
      </c>
      <c r="Q36" s="18"/>
    </row>
    <row r="37" ht="14.6" customHeight="1">
      <c r="A37" t="s" s="27">
        <v>235</v>
      </c>
      <c r="B37" t="s" s="27">
        <v>236</v>
      </c>
      <c r="C37" t="s" s="27">
        <v>208</v>
      </c>
      <c r="D37" s="18">
        <v>0</v>
      </c>
      <c r="E37" t="s" s="27">
        <v>209</v>
      </c>
      <c r="F37" s="18">
        <v>25</v>
      </c>
      <c r="G37" s="18">
        <v>14</v>
      </c>
      <c r="H37" s="18">
        <v>75.09999999999999</v>
      </c>
      <c r="I37" s="18">
        <v>46.9</v>
      </c>
      <c r="J37" s="18">
        <v>44</v>
      </c>
      <c r="K37" s="36" cm="1">
        <f t="array" ref="K37">'Weights &amp; Method'!$B$10*I37+'Weights &amp; Method'!$B$11*J37</f>
        <v>45.74</v>
      </c>
      <c r="L37" s="36">
        <v>79.5</v>
      </c>
      <c r="M37" s="36" cm="1">
        <f t="array" ref="M37">'Weights &amp; Method'!$B$4*K37+'Weights &amp; Method'!$B$5*L37+'Weights &amp; Method'!$B$6*100*D37</f>
        <v>49.007</v>
      </c>
      <c r="N37" s="36">
        <v>66</v>
      </c>
      <c r="O37" t="str" s="37" cm="1">
        <f t="array" ref="O37">IF(N37&lt;='Weights &amp; Method'!$B$13,"Yes","No")</f>
        <v>No</v>
      </c>
      <c r="P37" s="18">
        <v>55</v>
      </c>
      <c r="Q37" s="18"/>
    </row>
    <row r="38" ht="14.6" customHeight="1">
      <c r="A38" t="s" s="27">
        <v>237</v>
      </c>
      <c r="B38" t="s" s="27">
        <v>238</v>
      </c>
      <c r="C38" t="s" s="27">
        <v>208</v>
      </c>
      <c r="D38" s="18">
        <v>0</v>
      </c>
      <c r="E38" t="s" s="27">
        <v>209</v>
      </c>
      <c r="F38" s="18">
        <v>33</v>
      </c>
      <c r="G38" s="18">
        <v>22</v>
      </c>
      <c r="H38" s="18">
        <v>45.9</v>
      </c>
      <c r="I38" s="18">
        <v>23.4</v>
      </c>
      <c r="J38" s="18">
        <v>63.2</v>
      </c>
      <c r="K38" s="36" cm="1">
        <f t="array" ref="K38">'Weights &amp; Method'!$B$10*I38+'Weights &amp; Method'!$B$11*J38</f>
        <v>39.32</v>
      </c>
      <c r="L38" s="36">
        <v>89.59999999999999</v>
      </c>
      <c r="M38" s="36" cm="1">
        <f t="array" ref="M38">'Weights &amp; Method'!$B$4*K38+'Weights &amp; Method'!$B$5*L38+'Weights &amp; Method'!$B$6*100*D38</f>
        <v>48.506</v>
      </c>
      <c r="N38" s="36">
        <v>70</v>
      </c>
      <c r="O38" t="str" s="37" cm="1">
        <f t="array" ref="O38">IF(N38&lt;='Weights &amp; Method'!$B$13,"Yes","No")</f>
        <v>No</v>
      </c>
      <c r="P38" s="18">
        <v>62</v>
      </c>
      <c r="Q38" t="s" s="27">
        <v>167</v>
      </c>
    </row>
    <row r="39" ht="14.6" customHeight="1">
      <c r="A39" t="s" s="27">
        <v>239</v>
      </c>
      <c r="B39" t="s" s="27">
        <v>240</v>
      </c>
      <c r="C39" t="s" s="27">
        <v>208</v>
      </c>
      <c r="D39" s="18">
        <v>0</v>
      </c>
      <c r="E39" t="s" s="27">
        <v>209</v>
      </c>
      <c r="F39" s="18">
        <v>13</v>
      </c>
      <c r="G39" s="18">
        <v>4</v>
      </c>
      <c r="H39" s="18">
        <v>79.09999999999999</v>
      </c>
      <c r="I39" s="18">
        <v>60.4</v>
      </c>
      <c r="J39" s="18">
        <v>18.2</v>
      </c>
      <c r="K39" s="36" cm="1">
        <f t="array" ref="K39">'Weights &amp; Method'!$B$10*I39+'Weights &amp; Method'!$B$11*J39</f>
        <v>43.52</v>
      </c>
      <c r="L39" s="36">
        <v>81.8</v>
      </c>
      <c r="M39" s="36" cm="1">
        <f t="array" ref="M39">'Weights &amp; Method'!$B$4*K39+'Weights &amp; Method'!$B$5*L39+'Weights &amp; Method'!$B$6*100*D39</f>
        <v>48.476</v>
      </c>
      <c r="N39" s="36">
        <v>71</v>
      </c>
      <c r="O39" t="str" s="37" cm="1">
        <f t="array" ref="O39">IF(N39&lt;='Weights &amp; Method'!$B$13,"Yes","No")</f>
        <v>No</v>
      </c>
      <c r="P39" s="18">
        <v>61</v>
      </c>
      <c r="Q39" t="s" s="27">
        <v>241</v>
      </c>
    </row>
    <row r="40" ht="14.6" customHeight="1">
      <c r="A40" t="s" s="27">
        <v>242</v>
      </c>
      <c r="B40" t="s" s="27">
        <v>243</v>
      </c>
      <c r="C40" t="s" s="27">
        <v>208</v>
      </c>
      <c r="D40" s="18">
        <v>0</v>
      </c>
      <c r="E40" t="s" s="27">
        <v>209</v>
      </c>
      <c r="F40" s="18">
        <v>16</v>
      </c>
      <c r="G40" s="18">
        <v>3</v>
      </c>
      <c r="H40" s="18">
        <v>84.7</v>
      </c>
      <c r="I40" s="18">
        <v>59.7</v>
      </c>
      <c r="J40" s="18">
        <v>19.7</v>
      </c>
      <c r="K40" s="36" cm="1">
        <f t="array" ref="K40">'Weights &amp; Method'!$B$10*I40+'Weights &amp; Method'!$B$11*J40</f>
        <v>43.7</v>
      </c>
      <c r="L40" s="36">
        <v>80.5</v>
      </c>
      <c r="M40" s="36" cm="1">
        <f t="array" ref="M40">'Weights &amp; Method'!$B$4*K40+'Weights &amp; Method'!$B$5*L40+'Weights &amp; Method'!$B$6*100*D40</f>
        <v>48.185</v>
      </c>
      <c r="N40" s="36">
        <v>73</v>
      </c>
      <c r="O40" t="str" s="37" cm="1">
        <f t="array" ref="O40">IF(N40&lt;='Weights &amp; Method'!$B$13,"Yes","No")</f>
        <v>No</v>
      </c>
      <c r="P40" s="18">
        <v>64</v>
      </c>
      <c r="Q40" t="s" s="27">
        <v>244</v>
      </c>
    </row>
    <row r="41" ht="14.6" customHeight="1">
      <c r="A41" t="s" s="27">
        <v>245</v>
      </c>
      <c r="B41" t="s" s="27">
        <v>246</v>
      </c>
      <c r="C41" t="s" s="27">
        <v>208</v>
      </c>
      <c r="D41" s="18">
        <v>0</v>
      </c>
      <c r="E41" t="s" s="27">
        <v>209</v>
      </c>
      <c r="F41" s="18">
        <v>22</v>
      </c>
      <c r="G41" s="18">
        <v>12</v>
      </c>
      <c r="H41" s="18">
        <v>62</v>
      </c>
      <c r="I41" s="18">
        <v>34.9</v>
      </c>
      <c r="J41" s="18">
        <v>38.3</v>
      </c>
      <c r="K41" s="36" cm="1">
        <f t="array" ref="K41">'Weights &amp; Method'!$B$10*I41+'Weights &amp; Method'!$B$11*J41</f>
        <v>36.26</v>
      </c>
      <c r="L41" s="36">
        <v>85.7</v>
      </c>
      <c r="M41" s="36" cm="1">
        <f t="array" ref="M41">'Weights &amp; Method'!$B$4*K41+'Weights &amp; Method'!$B$5*L41+'Weights &amp; Method'!$B$6*100*D41</f>
        <v>45.653</v>
      </c>
      <c r="N41" s="36">
        <v>76</v>
      </c>
      <c r="O41" t="str" s="37" cm="1">
        <f t="array" ref="O41">IF(N41&lt;='Weights &amp; Method'!$B$13,"Yes","No")</f>
        <v>No</v>
      </c>
      <c r="P41" s="18">
        <v>70</v>
      </c>
      <c r="Q41" t="s" s="27">
        <v>167</v>
      </c>
    </row>
    <row r="42" ht="14.6" customHeight="1">
      <c r="A42" t="s" s="27">
        <v>247</v>
      </c>
      <c r="B42" t="s" s="27">
        <v>248</v>
      </c>
      <c r="C42" t="s" s="27">
        <v>208</v>
      </c>
      <c r="D42" s="18">
        <v>0</v>
      </c>
      <c r="E42" t="s" s="27">
        <v>209</v>
      </c>
      <c r="F42" s="18">
        <v>13</v>
      </c>
      <c r="G42" s="18">
        <v>9</v>
      </c>
      <c r="H42" s="18">
        <v>75.5</v>
      </c>
      <c r="I42" s="18">
        <v>45.7</v>
      </c>
      <c r="J42" s="18">
        <v>25.4</v>
      </c>
      <c r="K42" s="36" cm="1">
        <f t="array" ref="K42">'Weights &amp; Method'!$B$10*I42+'Weights &amp; Method'!$B$11*J42</f>
        <v>37.58</v>
      </c>
      <c r="L42" s="36">
        <v>79.5</v>
      </c>
      <c r="M42" s="36" cm="1">
        <f t="array" ref="M42">'Weights &amp; Method'!$B$4*K42+'Weights &amp; Method'!$B$5*L42+'Weights &amp; Method'!$B$6*100*D42</f>
        <v>44.519</v>
      </c>
      <c r="N42" s="36">
        <v>78</v>
      </c>
      <c r="O42" t="str" s="37" cm="1">
        <f t="array" ref="O42">IF(N42&lt;='Weights &amp; Method'!$B$13,"Yes","No")</f>
        <v>No</v>
      </c>
      <c r="P42" s="18">
        <v>74</v>
      </c>
      <c r="Q42" t="s" s="27">
        <v>249</v>
      </c>
    </row>
    <row r="43" ht="14.6" customHeight="1">
      <c r="A43" t="s" s="27">
        <v>250</v>
      </c>
      <c r="B43" t="s" s="27">
        <v>251</v>
      </c>
      <c r="C43" t="s" s="27">
        <v>208</v>
      </c>
      <c r="D43" s="18">
        <v>0</v>
      </c>
      <c r="E43" t="s" s="27">
        <v>209</v>
      </c>
      <c r="F43" s="18">
        <v>8</v>
      </c>
      <c r="G43" s="18">
        <v>0</v>
      </c>
      <c r="H43" s="18">
        <v>91.5</v>
      </c>
      <c r="I43" s="18">
        <v>60.9</v>
      </c>
      <c r="J43" s="18">
        <v>7.7</v>
      </c>
      <c r="K43" s="36" cm="1">
        <f t="array" ref="K43">'Weights &amp; Method'!$B$10*I43+'Weights &amp; Method'!$B$11*J43</f>
        <v>39.62</v>
      </c>
      <c r="L43" s="36">
        <v>70.09999999999999</v>
      </c>
      <c r="M43" s="36" cm="1">
        <f t="array" ref="M43">'Weights &amp; Method'!$B$4*K43+'Weights &amp; Method'!$B$5*L43+'Weights &amp; Method'!$B$6*100*D43</f>
        <v>42.821</v>
      </c>
      <c r="N43" s="36">
        <v>81</v>
      </c>
      <c r="O43" t="str" s="37" cm="1">
        <f t="array" ref="O43">IF(N43&lt;='Weights &amp; Method'!$B$13,"Yes","No")</f>
        <v>No</v>
      </c>
      <c r="P43" s="18">
        <v>77</v>
      </c>
      <c r="Q43" t="s" s="27">
        <v>252</v>
      </c>
    </row>
    <row r="44" ht="14.6" customHeight="1">
      <c r="A44" t="s" s="27">
        <v>253</v>
      </c>
      <c r="B44" t="s" s="27">
        <v>254</v>
      </c>
      <c r="C44" t="s" s="27">
        <v>208</v>
      </c>
      <c r="D44" s="18">
        <v>0</v>
      </c>
      <c r="E44" t="s" s="27">
        <v>209</v>
      </c>
      <c r="F44" s="18">
        <v>12</v>
      </c>
      <c r="G44" s="18">
        <v>3</v>
      </c>
      <c r="H44" s="18">
        <v>69.5</v>
      </c>
      <c r="I44" s="18">
        <v>45.3</v>
      </c>
      <c r="J44" s="18">
        <v>15.8</v>
      </c>
      <c r="K44" s="36" cm="1">
        <f t="array" ref="K44">'Weights &amp; Method'!$B$10*I44+'Weights &amp; Method'!$B$11*J44</f>
        <v>33.5</v>
      </c>
      <c r="L44" s="36">
        <v>79.5</v>
      </c>
      <c r="M44" s="36" cm="1">
        <f t="array" ref="M44">'Weights &amp; Method'!$B$4*K44+'Weights &amp; Method'!$B$5*L44+'Weights &amp; Method'!$B$6*100*D44</f>
        <v>42.275</v>
      </c>
      <c r="N44" s="36">
        <v>83</v>
      </c>
      <c r="O44" t="str" s="37" cm="1">
        <f t="array" ref="O44">IF(N44&lt;='Weights &amp; Method'!$B$13,"Yes","No")</f>
        <v>No</v>
      </c>
      <c r="P44" s="18">
        <v>80</v>
      </c>
      <c r="Q44" t="s" s="27">
        <v>255</v>
      </c>
    </row>
    <row r="45" ht="14.6" customHeight="1">
      <c r="A45" t="s" s="27">
        <v>256</v>
      </c>
      <c r="B45" t="s" s="27">
        <v>257</v>
      </c>
      <c r="C45" t="s" s="27">
        <v>208</v>
      </c>
      <c r="D45" s="18">
        <v>0</v>
      </c>
      <c r="E45" t="s" s="27">
        <v>209</v>
      </c>
      <c r="F45" s="18">
        <v>2</v>
      </c>
      <c r="G45" s="18">
        <v>0</v>
      </c>
      <c r="H45" s="18">
        <v>97.3</v>
      </c>
      <c r="I45" s="18">
        <v>51.5</v>
      </c>
      <c r="J45" s="18">
        <v>1.9</v>
      </c>
      <c r="K45" s="36" cm="1">
        <f t="array" ref="K45">'Weights &amp; Method'!$B$10*I45+'Weights &amp; Method'!$B$11*J45</f>
        <v>31.66</v>
      </c>
      <c r="L45" s="36">
        <v>79.5</v>
      </c>
      <c r="M45" s="36" cm="1">
        <f t="array" ref="M45">'Weights &amp; Method'!$B$4*K45+'Weights &amp; Method'!$B$5*L45+'Weights &amp; Method'!$B$6*100*D45</f>
        <v>41.263</v>
      </c>
      <c r="N45" s="36">
        <v>86</v>
      </c>
      <c r="O45" t="str" s="37" cm="1">
        <f t="array" ref="O45">IF(N45&lt;='Weights &amp; Method'!$B$13,"Yes","No")</f>
        <v>No</v>
      </c>
      <c r="P45" s="18">
        <v>84</v>
      </c>
      <c r="Q45" t="s" s="27">
        <v>190</v>
      </c>
    </row>
    <row r="46" ht="14.6" customHeight="1">
      <c r="A46" t="s" s="27">
        <v>258</v>
      </c>
      <c r="B46" t="s" s="27">
        <v>259</v>
      </c>
      <c r="C46" t="s" s="27">
        <v>208</v>
      </c>
      <c r="D46" s="18">
        <v>0</v>
      </c>
      <c r="E46" t="s" s="27">
        <v>209</v>
      </c>
      <c r="F46" s="18">
        <v>15</v>
      </c>
      <c r="G46" s="18">
        <v>10</v>
      </c>
      <c r="H46" s="18">
        <v>60.2</v>
      </c>
      <c r="I46" s="18">
        <v>40.5</v>
      </c>
      <c r="J46" s="18">
        <v>28.7</v>
      </c>
      <c r="K46" s="36" cm="1">
        <f t="array" ref="K46">'Weights &amp; Method'!$B$10*I46+'Weights &amp; Method'!$B$11*J46</f>
        <v>35.78</v>
      </c>
      <c r="L46" s="36">
        <v>69.90000000000001</v>
      </c>
      <c r="M46" s="36" cm="1">
        <f t="array" ref="M46">'Weights &amp; Method'!$B$4*K46+'Weights &amp; Method'!$B$5*L46+'Weights &amp; Method'!$B$6*100*D46</f>
        <v>40.649</v>
      </c>
      <c r="N46" s="36">
        <v>88</v>
      </c>
      <c r="O46" t="str" s="37" cm="1">
        <f t="array" ref="O46">IF(N46&lt;='Weights &amp; Method'!$B$13,"Yes","No")</f>
        <v>No</v>
      </c>
      <c r="P46" s="18">
        <v>86</v>
      </c>
      <c r="Q46" t="s" s="27">
        <v>260</v>
      </c>
    </row>
    <row r="47" ht="14.6" customHeight="1">
      <c r="A47" t="s" s="27">
        <v>261</v>
      </c>
      <c r="B47" t="s" s="27">
        <v>262</v>
      </c>
      <c r="C47" t="s" s="27">
        <v>208</v>
      </c>
      <c r="D47" s="18">
        <v>0</v>
      </c>
      <c r="E47" t="s" s="27">
        <v>209</v>
      </c>
      <c r="F47" s="18">
        <v>4</v>
      </c>
      <c r="G47" s="18">
        <v>0</v>
      </c>
      <c r="H47" s="18">
        <v>74.09999999999999</v>
      </c>
      <c r="I47" s="18">
        <v>39.9</v>
      </c>
      <c r="J47" s="18">
        <v>3.8</v>
      </c>
      <c r="K47" s="36" cm="1">
        <f t="array" ref="K47">'Weights &amp; Method'!$B$10*I47+'Weights &amp; Method'!$B$11*J47</f>
        <v>25.46</v>
      </c>
      <c r="L47" s="36">
        <v>81.8</v>
      </c>
      <c r="M47" s="36" cm="1">
        <f t="array" ref="M47">'Weights &amp; Method'!$B$4*K47+'Weights &amp; Method'!$B$5*L47+'Weights &amp; Method'!$B$6*100*D47</f>
        <v>38.543</v>
      </c>
      <c r="N47" s="36">
        <v>94</v>
      </c>
      <c r="O47" t="str" s="37" cm="1">
        <f t="array" ref="O47">IF(N47&lt;='Weights &amp; Method'!$B$13,"Yes","No")</f>
        <v>No</v>
      </c>
      <c r="P47" s="18">
        <v>92</v>
      </c>
      <c r="Q47" t="s" s="27">
        <v>263</v>
      </c>
    </row>
    <row r="48" ht="14.6" customHeight="1">
      <c r="A48" t="s" s="27">
        <v>264</v>
      </c>
      <c r="B48" t="s" s="27">
        <v>265</v>
      </c>
      <c r="C48" t="s" s="27">
        <v>208</v>
      </c>
      <c r="D48" s="18">
        <v>0</v>
      </c>
      <c r="E48" t="s" s="27">
        <v>209</v>
      </c>
      <c r="F48" s="18">
        <v>3</v>
      </c>
      <c r="G48" s="18">
        <v>2</v>
      </c>
      <c r="H48" s="18">
        <v>62</v>
      </c>
      <c r="I48" s="18">
        <v>44.5</v>
      </c>
      <c r="J48" s="18">
        <v>5.7</v>
      </c>
      <c r="K48" s="36" cm="1">
        <f t="array" ref="K48">'Weights &amp; Method'!$B$10*I48+'Weights &amp; Method'!$B$11*J48</f>
        <v>28.98</v>
      </c>
      <c r="L48" s="36">
        <v>74</v>
      </c>
      <c r="M48" s="36" cm="1">
        <f t="array" ref="M48">'Weights &amp; Method'!$B$4*K48+'Weights &amp; Method'!$B$5*L48+'Weights &amp; Method'!$B$6*100*D48</f>
        <v>38.139</v>
      </c>
      <c r="N48" s="36">
        <v>96</v>
      </c>
      <c r="O48" t="str" s="37" cm="1">
        <f t="array" ref="O48">IF(N48&lt;='Weights &amp; Method'!$B$13,"Yes","No")</f>
        <v>No</v>
      </c>
      <c r="P48" s="18">
        <v>94</v>
      </c>
      <c r="Q48" t="s" s="27">
        <v>266</v>
      </c>
    </row>
    <row r="49" ht="14.6" customHeight="1">
      <c r="A49" t="s" s="27">
        <v>267</v>
      </c>
      <c r="B49" t="s" s="27">
        <v>268</v>
      </c>
      <c r="C49" t="s" s="27">
        <v>208</v>
      </c>
      <c r="D49" s="18">
        <v>0</v>
      </c>
      <c r="E49" t="s" s="27">
        <v>209</v>
      </c>
      <c r="F49" s="18">
        <v>23</v>
      </c>
      <c r="G49" s="18">
        <v>14</v>
      </c>
      <c r="H49" s="18">
        <v>68.90000000000001</v>
      </c>
      <c r="I49" s="18">
        <v>38.9</v>
      </c>
      <c r="J49" s="18">
        <v>42.1</v>
      </c>
      <c r="K49" s="36" cm="1">
        <f t="array" ref="K49">'Weights &amp; Method'!$B$10*I49+'Weights &amp; Method'!$B$11*J49</f>
        <v>40.18</v>
      </c>
      <c r="L49" s="36">
        <v>52.1</v>
      </c>
      <c r="M49" s="36" cm="1">
        <f t="array" ref="M49">'Weights &amp; Method'!$B$4*K49+'Weights &amp; Method'!$B$5*L49+'Weights &amp; Method'!$B$6*100*D49</f>
        <v>37.729</v>
      </c>
      <c r="N49" s="36">
        <v>97</v>
      </c>
      <c r="O49" t="str" s="37" cm="1">
        <f t="array" ref="O49">IF(N49&lt;='Weights &amp; Method'!$B$13,"Yes","No")</f>
        <v>No</v>
      </c>
      <c r="P49" s="18">
        <v>95</v>
      </c>
      <c r="Q49" t="s" s="27">
        <v>269</v>
      </c>
    </row>
    <row r="50" ht="14.6" customHeight="1">
      <c r="A50" t="s" s="27">
        <v>270</v>
      </c>
      <c r="B50" t="s" s="27">
        <v>271</v>
      </c>
      <c r="C50" t="s" s="27">
        <v>208</v>
      </c>
      <c r="D50" s="18">
        <v>0</v>
      </c>
      <c r="E50" t="s" s="27">
        <v>209</v>
      </c>
      <c r="F50" s="18">
        <v>4</v>
      </c>
      <c r="G50" s="18">
        <v>4</v>
      </c>
      <c r="H50" s="18">
        <v>99.90000000000001</v>
      </c>
      <c r="I50" s="18">
        <v>60.3</v>
      </c>
      <c r="J50" s="18">
        <v>9.6</v>
      </c>
      <c r="K50" s="36" cm="1">
        <f t="array" ref="K50">'Weights &amp; Method'!$B$10*I50+'Weights &amp; Method'!$B$11*J50</f>
        <v>40.02</v>
      </c>
      <c r="L50" s="36">
        <v>52.1</v>
      </c>
      <c r="M50" s="36" cm="1">
        <f t="array" ref="M50">'Weights &amp; Method'!$B$4*K50+'Weights &amp; Method'!$B$5*L50+'Weights &amp; Method'!$B$6*100*D50</f>
        <v>37.641</v>
      </c>
      <c r="N50" s="36">
        <v>98</v>
      </c>
      <c r="O50" t="str" s="37" cm="1">
        <f t="array" ref="O50">IF(N50&lt;='Weights &amp; Method'!$B$13,"Yes","No")</f>
        <v>No</v>
      </c>
      <c r="P50" s="18">
        <v>96</v>
      </c>
      <c r="Q50" t="s" s="27">
        <v>272</v>
      </c>
    </row>
    <row r="51" ht="14.6" customHeight="1">
      <c r="A51" t="s" s="27">
        <v>273</v>
      </c>
      <c r="B51" t="s" s="27">
        <v>274</v>
      </c>
      <c r="C51" t="s" s="27">
        <v>208</v>
      </c>
      <c r="D51" s="18">
        <v>0</v>
      </c>
      <c r="E51" t="s" s="27">
        <v>209</v>
      </c>
      <c r="F51" s="18">
        <v>22</v>
      </c>
      <c r="G51" s="18">
        <v>14</v>
      </c>
      <c r="H51" s="18">
        <v>71.40000000000001</v>
      </c>
      <c r="I51" s="18">
        <v>45.6</v>
      </c>
      <c r="J51" s="18">
        <v>41.2</v>
      </c>
      <c r="K51" s="36" cm="1">
        <f t="array" ref="K51">'Weights &amp; Method'!$B$10*I51+'Weights &amp; Method'!$B$11*J51</f>
        <v>43.84</v>
      </c>
      <c r="L51" s="36">
        <v>39.7</v>
      </c>
      <c r="M51" s="36" cm="1">
        <f t="array" ref="M51">'Weights &amp; Method'!$B$4*K51+'Weights &amp; Method'!$B$5*L51+'Weights &amp; Method'!$B$6*100*D51</f>
        <v>36.022</v>
      </c>
      <c r="N51" s="36">
        <v>99</v>
      </c>
      <c r="O51" t="str" s="37" cm="1">
        <f t="array" ref="O51">IF(N51&lt;='Weights &amp; Method'!$B$13,"Yes","No")</f>
        <v>No</v>
      </c>
      <c r="P51" s="18">
        <v>98</v>
      </c>
      <c r="Q51" t="s" s="27">
        <v>275</v>
      </c>
    </row>
    <row r="52" ht="14.6" customHeight="1">
      <c r="A52" t="s" s="27">
        <v>276</v>
      </c>
      <c r="B52" t="s" s="27">
        <v>277</v>
      </c>
      <c r="C52" t="s" s="27">
        <v>208</v>
      </c>
      <c r="D52" s="18">
        <v>0</v>
      </c>
      <c r="E52" t="s" s="27">
        <v>209</v>
      </c>
      <c r="F52" s="18">
        <v>9</v>
      </c>
      <c r="G52" s="18">
        <v>3</v>
      </c>
      <c r="H52" s="18">
        <v>55.9</v>
      </c>
      <c r="I52" s="18">
        <v>34.1</v>
      </c>
      <c r="J52" s="18">
        <v>12.9</v>
      </c>
      <c r="K52" s="36" cm="1">
        <f t="array" ref="K52">'Weights &amp; Method'!$B$10*I52+'Weights &amp; Method'!$B$11*J52</f>
        <v>25.62</v>
      </c>
      <c r="L52" s="36">
        <v>71.8</v>
      </c>
      <c r="M52" s="36" cm="1">
        <f t="array" ref="M52">'Weights &amp; Method'!$B$4*K52+'Weights &amp; Method'!$B$5*L52+'Weights &amp; Method'!$B$6*100*D52</f>
        <v>35.631</v>
      </c>
      <c r="N52" s="36">
        <v>100</v>
      </c>
      <c r="O52" t="str" s="37" cm="1">
        <f t="array" ref="O52">IF(N52&lt;='Weights &amp; Method'!$B$13,"Yes","No")</f>
        <v>No</v>
      </c>
      <c r="P52" s="18">
        <v>99</v>
      </c>
      <c r="Q52" t="s" s="27">
        <v>278</v>
      </c>
    </row>
    <row r="53" ht="14.6" customHeight="1">
      <c r="A53" t="s" s="27">
        <v>279</v>
      </c>
      <c r="B53" t="s" s="27">
        <v>280</v>
      </c>
      <c r="C53" t="s" s="27">
        <v>208</v>
      </c>
      <c r="D53" s="18">
        <v>0</v>
      </c>
      <c r="E53" t="s" s="27">
        <v>209</v>
      </c>
      <c r="F53" s="18">
        <v>7</v>
      </c>
      <c r="G53" s="18">
        <v>0</v>
      </c>
      <c r="H53" s="18">
        <v>84.2</v>
      </c>
      <c r="I53" s="18">
        <v>54.7</v>
      </c>
      <c r="J53" s="18">
        <v>6.7</v>
      </c>
      <c r="K53" s="36" cm="1">
        <f t="array" ref="K53">'Weights &amp; Method'!$B$10*I53+'Weights &amp; Method'!$B$11*J53</f>
        <v>35.5</v>
      </c>
      <c r="L53" s="36">
        <v>51.9</v>
      </c>
      <c r="M53" s="36" cm="1">
        <f t="array" ref="M53">'Weights &amp; Method'!$B$4*K53+'Weights &amp; Method'!$B$5*L53+'Weights &amp; Method'!$B$6*100*D53</f>
        <v>35.095</v>
      </c>
      <c r="N53" s="36">
        <v>101</v>
      </c>
      <c r="O53" t="str" s="37" cm="1">
        <f t="array" ref="O53">IF(N53&lt;='Weights &amp; Method'!$B$13,"Yes","No")</f>
        <v>No</v>
      </c>
      <c r="P53" s="18">
        <v>100</v>
      </c>
      <c r="Q53" t="s" s="27">
        <v>281</v>
      </c>
    </row>
    <row r="54" ht="14.6" customHeight="1">
      <c r="A54" t="s" s="27">
        <v>282</v>
      </c>
      <c r="B54" t="s" s="27">
        <v>283</v>
      </c>
      <c r="C54" t="s" s="27">
        <v>208</v>
      </c>
      <c r="D54" s="18">
        <v>0</v>
      </c>
      <c r="E54" t="s" s="27">
        <v>209</v>
      </c>
      <c r="F54" s="18">
        <v>4</v>
      </c>
      <c r="G54" s="18">
        <v>0</v>
      </c>
      <c r="H54" s="18">
        <v>61</v>
      </c>
      <c r="I54" s="18">
        <v>37.3</v>
      </c>
      <c r="J54" s="18">
        <v>3.8</v>
      </c>
      <c r="K54" s="36" cm="1">
        <f t="array" ref="K54">'Weights &amp; Method'!$B$10*I54+'Weights &amp; Method'!$B$11*J54</f>
        <v>23.9</v>
      </c>
      <c r="L54" s="36">
        <v>63.6</v>
      </c>
      <c r="M54" s="36" cm="1">
        <f t="array" ref="M54">'Weights &amp; Method'!$B$4*K54+'Weights &amp; Method'!$B$5*L54+'Weights &amp; Method'!$B$6*100*D54</f>
        <v>32.225</v>
      </c>
      <c r="N54" s="36">
        <v>105</v>
      </c>
      <c r="O54" t="str" s="37" cm="1">
        <f t="array" ref="O54">IF(N54&lt;='Weights &amp; Method'!$B$13,"Yes","No")</f>
        <v>No</v>
      </c>
      <c r="P54" s="18">
        <v>105</v>
      </c>
      <c r="Q54" t="s" s="27">
        <v>284</v>
      </c>
    </row>
    <row r="55" ht="14.6" customHeight="1">
      <c r="A55" t="s" s="27">
        <v>285</v>
      </c>
      <c r="B55" t="s" s="27">
        <v>286</v>
      </c>
      <c r="C55" t="s" s="27">
        <v>208</v>
      </c>
      <c r="D55" s="18">
        <v>0</v>
      </c>
      <c r="E55" t="s" s="27">
        <v>209</v>
      </c>
      <c r="F55" s="18">
        <v>2</v>
      </c>
      <c r="G55" s="18">
        <v>0</v>
      </c>
      <c r="H55" s="18">
        <v>33.1</v>
      </c>
      <c r="I55" s="18">
        <v>37.3</v>
      </c>
      <c r="J55" s="18">
        <v>1.9</v>
      </c>
      <c r="K55" s="36" cm="1">
        <f t="array" ref="K55">'Weights &amp; Method'!$B$10*I55+'Weights &amp; Method'!$B$11*J55</f>
        <v>23.14</v>
      </c>
      <c r="L55" s="36">
        <v>60.3</v>
      </c>
      <c r="M55" s="36" cm="1">
        <f t="array" ref="M55">'Weights &amp; Method'!$B$4*K55+'Weights &amp; Method'!$B$5*L55+'Weights &amp; Method'!$B$6*100*D55</f>
        <v>30.817</v>
      </c>
      <c r="N55" s="36">
        <v>109</v>
      </c>
      <c r="O55" t="str" s="37" cm="1">
        <f t="array" ref="O55">IF(N55&lt;='Weights &amp; Method'!$B$13,"Yes","No")</f>
        <v>No</v>
      </c>
      <c r="P55" s="18">
        <v>109</v>
      </c>
      <c r="Q55" t="s" s="27">
        <v>287</v>
      </c>
    </row>
    <row r="56" ht="14.6" customHeight="1">
      <c r="A56" t="s" s="27">
        <v>288</v>
      </c>
      <c r="B56" t="s" s="27">
        <v>289</v>
      </c>
      <c r="C56" t="s" s="27">
        <v>208</v>
      </c>
      <c r="D56" s="18">
        <v>0</v>
      </c>
      <c r="E56" t="s" s="27">
        <v>209</v>
      </c>
      <c r="F56" s="18">
        <v>7</v>
      </c>
      <c r="G56" s="18">
        <v>4</v>
      </c>
      <c r="H56" s="18">
        <v>42.2</v>
      </c>
      <c r="I56" s="18">
        <v>29.8</v>
      </c>
      <c r="J56" s="18">
        <v>12.4</v>
      </c>
      <c r="K56" s="36" cm="1">
        <f t="array" ref="K56">'Weights &amp; Method'!$B$10*I56+'Weights &amp; Method'!$B$11*J56</f>
        <v>22.84</v>
      </c>
      <c r="L56" s="36">
        <v>42.9</v>
      </c>
      <c r="M56" s="36" cm="1">
        <f t="array" ref="M56">'Weights &amp; Method'!$B$4*K56+'Weights &amp; Method'!$B$5*L56+'Weights &amp; Method'!$B$6*100*D56</f>
        <v>25.432</v>
      </c>
      <c r="N56" s="36">
        <v>111</v>
      </c>
      <c r="O56" t="str" s="37" cm="1">
        <f t="array" ref="O56">IF(N56&lt;='Weights &amp; Method'!$B$13,"Yes","No")</f>
        <v>No</v>
      </c>
      <c r="P56" s="18">
        <v>111</v>
      </c>
      <c r="Q56" t="s" s="27">
        <v>290</v>
      </c>
    </row>
    <row r="57" ht="14.6" customHeight="1">
      <c r="A57" t="s" s="27">
        <v>291</v>
      </c>
      <c r="B57" t="s" s="27">
        <v>292</v>
      </c>
      <c r="C57" t="s" s="27">
        <v>208</v>
      </c>
      <c r="D57" s="18">
        <v>0</v>
      </c>
      <c r="E57" t="s" s="27">
        <v>209</v>
      </c>
      <c r="F57" s="18">
        <v>0</v>
      </c>
      <c r="G57" s="18">
        <v>0</v>
      </c>
      <c r="H57" s="18"/>
      <c r="I57" s="18">
        <v>0</v>
      </c>
      <c r="J57" s="18">
        <v>0</v>
      </c>
      <c r="K57" s="36" cm="1">
        <f t="array" ref="K57">'Weights &amp; Method'!$B$10*I57+'Weights &amp; Method'!$B$11*J57</f>
        <v>0</v>
      </c>
      <c r="L57" s="36">
        <v>67.5</v>
      </c>
      <c r="M57" s="36" cm="1">
        <f t="array" ref="M57">'Weights &amp; Method'!$B$4*K57+'Weights &amp; Method'!$B$5*L57+'Weights &amp; Method'!$B$6*100*D57</f>
        <v>20.25</v>
      </c>
      <c r="N57" s="36">
        <v>115</v>
      </c>
      <c r="O57" t="str" s="37" cm="1">
        <f t="array" ref="O57">IF(N57&lt;='Weights &amp; Method'!$B$13,"Yes","No")</f>
        <v>No</v>
      </c>
      <c r="P57" s="18">
        <v>115</v>
      </c>
      <c r="Q57" t="s" s="27">
        <v>202</v>
      </c>
    </row>
    <row r="58" ht="14.6" customHeight="1">
      <c r="A58" t="s" s="27">
        <v>293</v>
      </c>
      <c r="B58" t="s" s="27">
        <v>294</v>
      </c>
      <c r="C58" t="s" s="27">
        <v>208</v>
      </c>
      <c r="D58" s="18">
        <v>0</v>
      </c>
      <c r="E58" t="s" s="27">
        <v>209</v>
      </c>
      <c r="F58" s="18">
        <v>0</v>
      </c>
      <c r="G58" s="18">
        <v>0</v>
      </c>
      <c r="H58" s="18"/>
      <c r="I58" s="18">
        <v>0</v>
      </c>
      <c r="J58" s="18">
        <v>0</v>
      </c>
      <c r="K58" s="36" cm="1">
        <f t="array" ref="K58">'Weights &amp; Method'!$B$10*I58+'Weights &amp; Method'!$B$11*J58</f>
        <v>0</v>
      </c>
      <c r="L58" s="36">
        <v>62.3</v>
      </c>
      <c r="M58" s="36" cm="1">
        <f t="array" ref="M58">'Weights &amp; Method'!$B$4*K58+'Weights &amp; Method'!$B$5*L58+'Weights &amp; Method'!$B$6*100*D58</f>
        <v>18.69</v>
      </c>
      <c r="N58" s="36">
        <v>116</v>
      </c>
      <c r="O58" t="str" s="37" cm="1">
        <f t="array" ref="O58">IF(N58&lt;='Weights &amp; Method'!$B$13,"Yes","No")</f>
        <v>No</v>
      </c>
      <c r="P58" s="18">
        <v>116</v>
      </c>
      <c r="Q58" t="s" s="27">
        <v>295</v>
      </c>
    </row>
    <row r="59" ht="14.6" customHeight="1">
      <c r="A59" t="s" s="27">
        <v>296</v>
      </c>
      <c r="B59" t="s" s="27">
        <v>297</v>
      </c>
      <c r="C59" t="s" s="27">
        <v>208</v>
      </c>
      <c r="D59" s="18">
        <v>0</v>
      </c>
      <c r="E59" t="s" s="27">
        <v>209</v>
      </c>
      <c r="F59" s="18">
        <v>0</v>
      </c>
      <c r="G59" s="18">
        <v>0</v>
      </c>
      <c r="H59" s="18"/>
      <c r="I59" s="18">
        <v>0</v>
      </c>
      <c r="J59" s="18">
        <v>0</v>
      </c>
      <c r="K59" s="36" cm="1">
        <f t="array" ref="K59">'Weights &amp; Method'!$B$10*I59+'Weights &amp; Method'!$B$11*J59</f>
        <v>0</v>
      </c>
      <c r="L59" s="36">
        <v>57.5</v>
      </c>
      <c r="M59" s="36" cm="1">
        <f t="array" ref="M59">'Weights &amp; Method'!$B$4*K59+'Weights &amp; Method'!$B$5*L59+'Weights &amp; Method'!$B$6*100*D59</f>
        <v>17.25</v>
      </c>
      <c r="N59" s="36">
        <v>117</v>
      </c>
      <c r="O59" t="str" s="37" cm="1">
        <f t="array" ref="O59">IF(N59&lt;='Weights &amp; Method'!$B$13,"Yes","No")</f>
        <v>No</v>
      </c>
      <c r="P59" s="18">
        <v>117</v>
      </c>
      <c r="Q59" t="s" s="27">
        <v>298</v>
      </c>
    </row>
    <row r="60" ht="14.6" customHeight="1">
      <c r="A60" t="s" s="27">
        <v>299</v>
      </c>
      <c r="B60" t="s" s="27">
        <v>300</v>
      </c>
      <c r="C60" t="s" s="27">
        <v>208</v>
      </c>
      <c r="D60" s="18">
        <v>0</v>
      </c>
      <c r="E60" t="s" s="27">
        <v>209</v>
      </c>
      <c r="F60" s="18">
        <v>0</v>
      </c>
      <c r="G60" s="18">
        <v>0</v>
      </c>
      <c r="H60" s="18"/>
      <c r="I60" s="18">
        <v>0</v>
      </c>
      <c r="J60" s="18">
        <v>0</v>
      </c>
      <c r="K60" s="36" cm="1">
        <f t="array" ref="K60">'Weights &amp; Method'!$B$10*I60+'Weights &amp; Method'!$B$11*J60</f>
        <v>0</v>
      </c>
      <c r="L60" s="36">
        <v>5.5</v>
      </c>
      <c r="M60" s="36" cm="1">
        <f t="array" ref="M60">'Weights &amp; Method'!$B$4*K60+'Weights &amp; Method'!$B$5*L60+'Weights &amp; Method'!$B$6*100*D60</f>
        <v>1.65</v>
      </c>
      <c r="N60" s="36">
        <v>122</v>
      </c>
      <c r="O60" t="str" s="37" cm="1">
        <f t="array" ref="O60">IF(N60&lt;='Weights &amp; Method'!$B$13,"Yes","No")</f>
        <v>No</v>
      </c>
      <c r="P60" s="18">
        <v>122</v>
      </c>
      <c r="Q60" t="s" s="27">
        <v>301</v>
      </c>
    </row>
    <row r="61" ht="14.6" customHeight="1">
      <c r="A61" t="s" s="27">
        <v>302</v>
      </c>
      <c r="B61" t="s" s="27">
        <v>303</v>
      </c>
      <c r="C61" t="s" s="27">
        <v>304</v>
      </c>
      <c r="D61" s="18">
        <v>1</v>
      </c>
      <c r="E61" t="s" s="27">
        <v>305</v>
      </c>
      <c r="F61" s="18">
        <v>34</v>
      </c>
      <c r="G61" s="18">
        <v>21</v>
      </c>
      <c r="H61" s="18">
        <v>82.5</v>
      </c>
      <c r="I61" s="18">
        <v>53.6</v>
      </c>
      <c r="J61" s="18">
        <v>62.7</v>
      </c>
      <c r="K61" s="36" cm="1">
        <f t="array" ref="K61">'Weights &amp; Method'!$B$10*I61+'Weights &amp; Method'!$B$11*J61</f>
        <v>57.24</v>
      </c>
      <c r="L61" s="36">
        <v>100</v>
      </c>
      <c r="M61" s="36" cm="1">
        <f t="array" ref="M61">'Weights &amp; Method'!$B$4*K61+'Weights &amp; Method'!$B$5*L61+'Weights &amp; Method'!$B$6*100*D61</f>
        <v>76.482</v>
      </c>
      <c r="N61" s="36">
        <v>4</v>
      </c>
      <c r="O61" t="str" s="37" cm="1">
        <f t="array" ref="O61">IF(N61&lt;='Weights &amp; Method'!$B$13,"Yes","No")</f>
        <v>Yes</v>
      </c>
      <c r="P61" s="18">
        <v>13</v>
      </c>
      <c r="Q61" s="18"/>
    </row>
    <row r="62" ht="14.6" customHeight="1">
      <c r="A62" t="s" s="27">
        <v>306</v>
      </c>
      <c r="B62" t="s" s="27">
        <v>307</v>
      </c>
      <c r="C62" t="s" s="27">
        <v>304</v>
      </c>
      <c r="D62" s="18">
        <v>1</v>
      </c>
      <c r="E62" t="s" s="27">
        <v>305</v>
      </c>
      <c r="F62" s="18">
        <v>29</v>
      </c>
      <c r="G62" s="18">
        <v>19</v>
      </c>
      <c r="H62" s="18">
        <v>82.2</v>
      </c>
      <c r="I62" s="18">
        <v>54.3</v>
      </c>
      <c r="J62" s="18">
        <v>55</v>
      </c>
      <c r="K62" s="36" cm="1">
        <f t="array" ref="K62">'Weights &amp; Method'!$B$10*I62+'Weights &amp; Method'!$B$11*J62</f>
        <v>54.58</v>
      </c>
      <c r="L62" s="36">
        <v>91.8</v>
      </c>
      <c r="M62" s="36" cm="1">
        <f t="array" ref="M62">'Weights &amp; Method'!$B$4*K62+'Weights &amp; Method'!$B$5*L62+'Weights &amp; Method'!$B$6*100*D62</f>
        <v>72.559</v>
      </c>
      <c r="N62" s="36">
        <v>8</v>
      </c>
      <c r="O62" t="str" s="37" cm="1">
        <f t="array" ref="O62">IF(N62&lt;='Weights &amp; Method'!$B$13,"Yes","No")</f>
        <v>Yes</v>
      </c>
      <c r="P62" s="18">
        <v>23</v>
      </c>
      <c r="Q62" s="18"/>
    </row>
    <row r="63" ht="14.6" customHeight="1">
      <c r="A63" t="s" s="27">
        <v>308</v>
      </c>
      <c r="B63" t="s" s="27">
        <v>309</v>
      </c>
      <c r="C63" t="s" s="27">
        <v>304</v>
      </c>
      <c r="D63" s="18">
        <v>1</v>
      </c>
      <c r="E63" t="s" s="27">
        <v>305</v>
      </c>
      <c r="F63" s="18">
        <v>26</v>
      </c>
      <c r="G63" s="18">
        <v>11</v>
      </c>
      <c r="H63" s="18">
        <v>91.2</v>
      </c>
      <c r="I63" s="18">
        <v>61.6</v>
      </c>
      <c r="J63" s="18">
        <v>40.7</v>
      </c>
      <c r="K63" s="36" cm="1">
        <f t="array" ref="K63">'Weights &amp; Method'!$B$10*I63+'Weights &amp; Method'!$B$11*J63</f>
        <v>53.24</v>
      </c>
      <c r="L63" s="36">
        <v>91.8</v>
      </c>
      <c r="M63" s="36" cm="1">
        <f t="array" ref="M63">'Weights &amp; Method'!$B$4*K63+'Weights &amp; Method'!$B$5*L63+'Weights &amp; Method'!$B$6*100*D63</f>
        <v>71.822</v>
      </c>
      <c r="N63" s="36">
        <v>9</v>
      </c>
      <c r="O63" t="str" s="37" cm="1">
        <f t="array" ref="O63">IF(N63&lt;='Weights &amp; Method'!$B$13,"Yes","No")</f>
        <v>Yes</v>
      </c>
      <c r="P63" s="18">
        <v>25</v>
      </c>
      <c r="Q63" s="18"/>
    </row>
    <row r="64" ht="14.6" customHeight="1">
      <c r="A64" t="s" s="27">
        <v>310</v>
      </c>
      <c r="B64" t="s" s="27">
        <v>311</v>
      </c>
      <c r="C64" t="s" s="27">
        <v>304</v>
      </c>
      <c r="D64" s="18">
        <v>1</v>
      </c>
      <c r="E64" t="s" s="27">
        <v>305</v>
      </c>
      <c r="F64" s="18">
        <v>17</v>
      </c>
      <c r="G64" s="18">
        <v>11</v>
      </c>
      <c r="H64" s="18">
        <v>96.8</v>
      </c>
      <c r="I64" s="18">
        <v>72.59999999999999</v>
      </c>
      <c r="J64" s="18">
        <v>32.1</v>
      </c>
      <c r="K64" s="36" cm="1">
        <f t="array" ref="K64">'Weights &amp; Method'!$B$10*I64+'Weights &amp; Method'!$B$11*J64</f>
        <v>56.4</v>
      </c>
      <c r="L64" s="36">
        <v>85.7</v>
      </c>
      <c r="M64" s="36" cm="1">
        <f t="array" ref="M64">'Weights &amp; Method'!$B$4*K64+'Weights &amp; Method'!$B$5*L64+'Weights &amp; Method'!$B$6*100*D64</f>
        <v>71.73</v>
      </c>
      <c r="N64" s="36">
        <v>10</v>
      </c>
      <c r="O64" t="str" s="37" cm="1">
        <f t="array" ref="O64">IF(N64&lt;='Weights &amp; Method'!$B$13,"Yes","No")</f>
        <v>Yes</v>
      </c>
      <c r="P64" s="18">
        <v>26</v>
      </c>
      <c r="Q64" t="s" s="27">
        <v>312</v>
      </c>
    </row>
    <row r="65" ht="14.6" customHeight="1">
      <c r="A65" t="s" s="27">
        <v>313</v>
      </c>
      <c r="B65" t="s" s="27">
        <v>314</v>
      </c>
      <c r="C65" t="s" s="27">
        <v>304</v>
      </c>
      <c r="D65" s="18">
        <v>1</v>
      </c>
      <c r="E65" t="s" s="27">
        <v>305</v>
      </c>
      <c r="F65" s="18">
        <v>23</v>
      </c>
      <c r="G65" s="18">
        <v>11</v>
      </c>
      <c r="H65" s="18">
        <v>80.59999999999999</v>
      </c>
      <c r="I65" s="18">
        <v>53.9</v>
      </c>
      <c r="J65" s="18">
        <v>37.8</v>
      </c>
      <c r="K65" s="36" cm="1">
        <f t="array" ref="K65">'Weights &amp; Method'!$B$10*I65+'Weights &amp; Method'!$B$11*J65</f>
        <v>47.46</v>
      </c>
      <c r="L65" s="36">
        <v>100</v>
      </c>
      <c r="M65" s="36" cm="1">
        <f t="array" ref="M65">'Weights &amp; Method'!$B$4*K65+'Weights &amp; Method'!$B$5*L65+'Weights &amp; Method'!$B$6*100*D65</f>
        <v>71.10299999999999</v>
      </c>
      <c r="N65" s="36">
        <v>11</v>
      </c>
      <c r="O65" t="str" s="37" cm="1">
        <f t="array" ref="O65">IF(N65&lt;='Weights &amp; Method'!$B$13,"Yes","No")</f>
        <v>Yes</v>
      </c>
      <c r="P65" s="18">
        <v>27</v>
      </c>
      <c r="Q65" s="18"/>
    </row>
    <row r="66" ht="14.6" customHeight="1">
      <c r="A66" t="s" s="27">
        <v>315</v>
      </c>
      <c r="B66" t="s" s="27">
        <v>316</v>
      </c>
      <c r="C66" t="s" s="27">
        <v>304</v>
      </c>
      <c r="D66" s="18">
        <v>1</v>
      </c>
      <c r="E66" t="s" s="27">
        <v>305</v>
      </c>
      <c r="F66" s="18">
        <v>32</v>
      </c>
      <c r="G66" s="18">
        <v>17</v>
      </c>
      <c r="H66" s="18">
        <v>84</v>
      </c>
      <c r="I66" s="18">
        <v>55.6</v>
      </c>
      <c r="J66" s="18">
        <v>55.1</v>
      </c>
      <c r="K66" s="36" cm="1">
        <f t="array" ref="K66">'Weights &amp; Method'!$B$10*I66+'Weights &amp; Method'!$B$11*J66</f>
        <v>55.4</v>
      </c>
      <c r="L66" s="36">
        <v>71.2</v>
      </c>
      <c r="M66" s="36" cm="1">
        <f t="array" ref="M66">'Weights &amp; Method'!$B$4*K66+'Weights &amp; Method'!$B$5*L66+'Weights &amp; Method'!$B$6*100*D66</f>
        <v>66.83</v>
      </c>
      <c r="N66" s="36">
        <v>23</v>
      </c>
      <c r="O66" t="str" s="37" cm="1">
        <f t="array" ref="O66">IF(N66&lt;='Weights &amp; Method'!$B$13,"Yes","No")</f>
        <v>Yes</v>
      </c>
      <c r="P66" s="18">
        <v>46</v>
      </c>
      <c r="Q66" s="18"/>
    </row>
    <row r="67" ht="14.6" customHeight="1">
      <c r="A67" t="s" s="27">
        <v>317</v>
      </c>
      <c r="B67" t="s" s="27">
        <v>318</v>
      </c>
      <c r="C67" t="s" s="27">
        <v>304</v>
      </c>
      <c r="D67" s="18">
        <v>1</v>
      </c>
      <c r="E67" t="s" s="27">
        <v>305</v>
      </c>
      <c r="F67" s="18">
        <v>5</v>
      </c>
      <c r="G67" s="18">
        <v>3</v>
      </c>
      <c r="H67" s="18">
        <v>94.8</v>
      </c>
      <c r="I67" s="18">
        <v>67.40000000000001</v>
      </c>
      <c r="J67" s="18">
        <v>9.1</v>
      </c>
      <c r="K67" s="36" cm="1">
        <f t="array" ref="K67">'Weights &amp; Method'!$B$10*I67+'Weights &amp; Method'!$B$11*J67</f>
        <v>44.08</v>
      </c>
      <c r="L67" s="36">
        <v>90.90000000000001</v>
      </c>
      <c r="M67" s="36" cm="1">
        <f t="array" ref="M67">'Weights &amp; Method'!$B$4*K67+'Weights &amp; Method'!$B$5*L67+'Weights &amp; Method'!$B$6*100*D67</f>
        <v>66.514</v>
      </c>
      <c r="N67" s="36">
        <v>24</v>
      </c>
      <c r="O67" t="str" s="37" cm="1">
        <f t="array" ref="O67">IF(N67&lt;='Weights &amp; Method'!$B$13,"Yes","No")</f>
        <v>Yes</v>
      </c>
      <c r="P67" s="18">
        <v>48</v>
      </c>
      <c r="Q67" t="s" s="27">
        <v>319</v>
      </c>
    </row>
    <row r="68" ht="14.6" customHeight="1">
      <c r="A68" t="s" s="27">
        <v>320</v>
      </c>
      <c r="B68" t="s" s="27">
        <v>321</v>
      </c>
      <c r="C68" t="s" s="27">
        <v>304</v>
      </c>
      <c r="D68" s="18">
        <v>0</v>
      </c>
      <c r="E68" t="s" s="27">
        <v>305</v>
      </c>
      <c r="F68" s="18">
        <v>45</v>
      </c>
      <c r="G68" s="18">
        <v>31</v>
      </c>
      <c r="H68" s="18">
        <v>90.90000000000001</v>
      </c>
      <c r="I68" s="18">
        <v>65</v>
      </c>
      <c r="J68" s="18">
        <v>87.59999999999999</v>
      </c>
      <c r="K68" s="36" cm="1">
        <f t="array" ref="K68">'Weights &amp; Method'!$B$10*I68+'Weights &amp; Method'!$B$11*J68</f>
        <v>74.04000000000001</v>
      </c>
      <c r="L68" s="36">
        <v>84.90000000000001</v>
      </c>
      <c r="M68" s="36" cm="1">
        <f t="array" ref="M68">'Weights &amp; Method'!$B$4*K68+'Weights &amp; Method'!$B$5*L68+'Weights &amp; Method'!$B$6*100*D68</f>
        <v>66.19199999999999</v>
      </c>
      <c r="N68" s="36">
        <v>25</v>
      </c>
      <c r="O68" t="str" s="37" cm="1">
        <f t="array" ref="O68">IF(N68&lt;='Weights &amp; Method'!$B$13,"Yes","No")</f>
        <v>Yes</v>
      </c>
      <c r="P68" s="18">
        <v>4</v>
      </c>
      <c r="Q68" t="s" s="27">
        <v>156</v>
      </c>
    </row>
    <row r="69" ht="14.6" customHeight="1">
      <c r="A69" t="s" s="27">
        <v>322</v>
      </c>
      <c r="B69" t="s" s="27">
        <v>323</v>
      </c>
      <c r="C69" t="s" s="27">
        <v>304</v>
      </c>
      <c r="D69" s="18">
        <v>1</v>
      </c>
      <c r="E69" t="s" s="27">
        <v>305</v>
      </c>
      <c r="F69" s="18">
        <v>11</v>
      </c>
      <c r="G69" s="18">
        <v>0</v>
      </c>
      <c r="H69" s="18">
        <v>91.3</v>
      </c>
      <c r="I69" s="18">
        <v>63.9</v>
      </c>
      <c r="J69" s="18">
        <v>10.6</v>
      </c>
      <c r="K69" s="36" cm="1">
        <f t="array" ref="K69">'Weights &amp; Method'!$B$10*I69+'Weights &amp; Method'!$B$11*J69</f>
        <v>42.58</v>
      </c>
      <c r="L69" s="36">
        <v>84.90000000000001</v>
      </c>
      <c r="M69" s="36" cm="1">
        <f t="array" ref="M69">'Weights &amp; Method'!$B$4*K69+'Weights &amp; Method'!$B$5*L69+'Weights &amp; Method'!$B$6*100*D69</f>
        <v>63.889</v>
      </c>
      <c r="N69" s="36">
        <v>27</v>
      </c>
      <c r="O69" t="str" s="37" cm="1">
        <f t="array" ref="O69">IF(N69&lt;='Weights &amp; Method'!$B$13,"Yes","No")</f>
        <v>Yes</v>
      </c>
      <c r="P69" s="18">
        <v>57</v>
      </c>
      <c r="Q69" t="s" s="27">
        <v>324</v>
      </c>
    </row>
    <row r="70" ht="14.6" customHeight="1">
      <c r="A70" t="s" s="27">
        <v>325</v>
      </c>
      <c r="B70" t="s" s="27">
        <v>326</v>
      </c>
      <c r="C70" t="s" s="27">
        <v>304</v>
      </c>
      <c r="D70" s="18">
        <v>0</v>
      </c>
      <c r="E70" t="s" s="27">
        <v>305</v>
      </c>
      <c r="F70" s="18">
        <v>34</v>
      </c>
      <c r="G70" s="18">
        <v>20</v>
      </c>
      <c r="H70" s="18">
        <v>88.2</v>
      </c>
      <c r="I70" s="18">
        <v>63.1</v>
      </c>
      <c r="J70" s="18">
        <v>61.3</v>
      </c>
      <c r="K70" s="36" cm="1">
        <f t="array" ref="K70">'Weights &amp; Method'!$B$10*I70+'Weights &amp; Method'!$B$11*J70</f>
        <v>62.38</v>
      </c>
      <c r="L70" s="36">
        <v>94.5</v>
      </c>
      <c r="M70" s="36" cm="1">
        <f t="array" ref="M70">'Weights &amp; Method'!$B$4*K70+'Weights &amp; Method'!$B$5*L70+'Weights &amp; Method'!$B$6*100*D70</f>
        <v>62.659</v>
      </c>
      <c r="N70" s="36">
        <v>33</v>
      </c>
      <c r="O70" t="str" s="37" cm="1">
        <f t="array" ref="O70">IF(N70&lt;='Weights &amp; Method'!$B$13,"Yes","No")</f>
        <v>Yes</v>
      </c>
      <c r="P70" s="18">
        <v>11</v>
      </c>
      <c r="Q70" t="s" s="27">
        <v>156</v>
      </c>
    </row>
    <row r="71" ht="14.6" customHeight="1">
      <c r="A71" t="s" s="27">
        <v>327</v>
      </c>
      <c r="B71" t="s" s="27">
        <v>328</v>
      </c>
      <c r="C71" t="s" s="27">
        <v>304</v>
      </c>
      <c r="D71" s="18">
        <v>1</v>
      </c>
      <c r="E71" t="s" s="27">
        <v>305</v>
      </c>
      <c r="F71" s="18">
        <v>16</v>
      </c>
      <c r="G71" s="18">
        <v>12</v>
      </c>
      <c r="H71" s="18">
        <v>56</v>
      </c>
      <c r="I71" s="18">
        <v>34.3</v>
      </c>
      <c r="J71" s="18">
        <v>32.5</v>
      </c>
      <c r="K71" s="36" cm="1">
        <f t="array" ref="K71">'Weights &amp; Method'!$B$10*I71+'Weights &amp; Method'!$B$11*J71</f>
        <v>33.58</v>
      </c>
      <c r="L71" s="36">
        <v>93.2</v>
      </c>
      <c r="M71" s="36" cm="1">
        <f t="array" ref="M71">'Weights &amp; Method'!$B$4*K71+'Weights &amp; Method'!$B$5*L71+'Weights &amp; Method'!$B$6*100*D71</f>
        <v>61.429</v>
      </c>
      <c r="N71" s="36">
        <v>36</v>
      </c>
      <c r="O71" t="str" s="37" cm="1">
        <f t="array" ref="O71">IF(N71&lt;='Weights &amp; Method'!$B$13,"Yes","No")</f>
        <v>Yes</v>
      </c>
      <c r="P71" s="18">
        <v>67</v>
      </c>
      <c r="Q71" t="s" s="27">
        <v>329</v>
      </c>
    </row>
    <row r="72" ht="14.6" customHeight="1">
      <c r="A72" t="s" s="27">
        <v>330</v>
      </c>
      <c r="B72" t="s" s="27">
        <v>331</v>
      </c>
      <c r="C72" t="s" s="27">
        <v>304</v>
      </c>
      <c r="D72" s="18">
        <v>1</v>
      </c>
      <c r="E72" t="s" s="27">
        <v>305</v>
      </c>
      <c r="F72" s="18">
        <v>17</v>
      </c>
      <c r="G72" s="18">
        <v>10</v>
      </c>
      <c r="H72" s="18">
        <v>88.40000000000001</v>
      </c>
      <c r="I72" s="18">
        <v>60.9</v>
      </c>
      <c r="J72" s="18">
        <v>30.6</v>
      </c>
      <c r="K72" s="36" cm="1">
        <f t="array" ref="K72">'Weights &amp; Method'!$B$10*I72+'Weights &amp; Method'!$B$11*J72</f>
        <v>48.78</v>
      </c>
      <c r="L72" s="36">
        <v>59.7</v>
      </c>
      <c r="M72" s="36" cm="1">
        <f t="array" ref="M72">'Weights &amp; Method'!$B$4*K72+'Weights &amp; Method'!$B$5*L72+'Weights &amp; Method'!$B$6*100*D72</f>
        <v>59.739</v>
      </c>
      <c r="N72" s="36">
        <v>39</v>
      </c>
      <c r="O72" t="str" s="37" cm="1">
        <f t="array" ref="O72">IF(N72&lt;='Weights &amp; Method'!$B$13,"Yes","No")</f>
        <v>Yes</v>
      </c>
      <c r="P72" s="18">
        <v>72</v>
      </c>
      <c r="Q72" t="s" s="27">
        <v>332</v>
      </c>
    </row>
    <row r="73" ht="14.6" customHeight="1">
      <c r="A73" t="s" s="27">
        <v>333</v>
      </c>
      <c r="B73" t="s" s="27">
        <v>334</v>
      </c>
      <c r="C73" t="s" s="27">
        <v>304</v>
      </c>
      <c r="D73" s="18">
        <v>0</v>
      </c>
      <c r="E73" t="s" s="27">
        <v>305</v>
      </c>
      <c r="F73" s="18">
        <v>29</v>
      </c>
      <c r="G73" s="18">
        <v>15</v>
      </c>
      <c r="H73" s="18">
        <v>86.3</v>
      </c>
      <c r="I73" s="18">
        <v>60.5</v>
      </c>
      <c r="J73" s="18">
        <v>49.3</v>
      </c>
      <c r="K73" s="36" cm="1">
        <f t="array" ref="K73">'Weights &amp; Method'!$B$10*I73+'Weights &amp; Method'!$B$11*J73</f>
        <v>56.02</v>
      </c>
      <c r="L73" s="36">
        <v>90.90000000000001</v>
      </c>
      <c r="M73" s="36" cm="1">
        <f t="array" ref="M73">'Weights &amp; Method'!$B$4*K73+'Weights &amp; Method'!$B$5*L73+'Weights &amp; Method'!$B$6*100*D73</f>
        <v>58.081</v>
      </c>
      <c r="N73" s="36">
        <v>45</v>
      </c>
      <c r="O73" t="str" s="37" cm="1">
        <f t="array" ref="O73">IF(N73&lt;='Weights &amp; Method'!$B$13,"Yes","No")</f>
        <v>No</v>
      </c>
      <c r="P73" s="18">
        <v>21</v>
      </c>
      <c r="Q73" s="18"/>
    </row>
    <row r="74" ht="14.6" customHeight="1">
      <c r="A74" t="s" s="27">
        <v>335</v>
      </c>
      <c r="B74" t="s" s="27">
        <v>336</v>
      </c>
      <c r="C74" t="s" s="27">
        <v>304</v>
      </c>
      <c r="D74" s="18">
        <v>1</v>
      </c>
      <c r="E74" t="s" s="27">
        <v>305</v>
      </c>
      <c r="F74" s="18">
        <v>22</v>
      </c>
      <c r="G74" s="18">
        <v>11</v>
      </c>
      <c r="H74" s="18">
        <v>68.59999999999999</v>
      </c>
      <c r="I74" s="18">
        <v>38.8</v>
      </c>
      <c r="J74" s="18">
        <v>36.9</v>
      </c>
      <c r="K74" s="36" cm="1">
        <f t="array" ref="K74">'Weights &amp; Method'!$B$10*I74+'Weights &amp; Method'!$B$11*J74</f>
        <v>38.04</v>
      </c>
      <c r="L74" s="36">
        <v>71.2</v>
      </c>
      <c r="M74" s="36" cm="1">
        <f t="array" ref="M74">'Weights &amp; Method'!$B$4*K74+'Weights &amp; Method'!$B$5*L74+'Weights &amp; Method'!$B$6*100*D74</f>
        <v>57.282</v>
      </c>
      <c r="N74" s="36">
        <v>47</v>
      </c>
      <c r="O74" t="str" s="37" cm="1">
        <f t="array" ref="O74">IF(N74&lt;='Weights &amp; Method'!$B$13,"Yes","No")</f>
        <v>No</v>
      </c>
      <c r="P74" s="18">
        <v>79</v>
      </c>
      <c r="Q74" t="s" s="27">
        <v>167</v>
      </c>
    </row>
    <row r="75" ht="14.6" customHeight="1">
      <c r="A75" t="s" s="27">
        <v>337</v>
      </c>
      <c r="B75" t="s" s="27">
        <v>338</v>
      </c>
      <c r="C75" t="s" s="27">
        <v>304</v>
      </c>
      <c r="D75" s="18">
        <v>0</v>
      </c>
      <c r="E75" t="s" s="27">
        <v>305</v>
      </c>
      <c r="F75" s="18">
        <v>16</v>
      </c>
      <c r="G75" s="18">
        <v>11</v>
      </c>
      <c r="H75" s="18">
        <v>93.8</v>
      </c>
      <c r="I75" s="18">
        <v>70.3</v>
      </c>
      <c r="J75" s="18">
        <v>31.1</v>
      </c>
      <c r="K75" s="36" cm="1">
        <f t="array" ref="K75">'Weights &amp; Method'!$B$10*I75+'Weights &amp; Method'!$B$11*J75</f>
        <v>54.62</v>
      </c>
      <c r="L75" s="36">
        <v>89.59999999999999</v>
      </c>
      <c r="M75" s="36" cm="1">
        <f t="array" ref="M75">'Weights &amp; Method'!$B$4*K75+'Weights &amp; Method'!$B$5*L75+'Weights &amp; Method'!$B$6*100*D75</f>
        <v>56.921</v>
      </c>
      <c r="N75" s="36">
        <v>48</v>
      </c>
      <c r="O75" t="str" s="37" cm="1">
        <f t="array" ref="O75">IF(N75&lt;='Weights &amp; Method'!$B$13,"Yes","No")</f>
        <v>No</v>
      </c>
      <c r="P75" s="18">
        <v>24</v>
      </c>
      <c r="Q75" t="s" s="27">
        <v>339</v>
      </c>
    </row>
    <row r="76" ht="14.6" customHeight="1">
      <c r="A76" t="s" s="27">
        <v>340</v>
      </c>
      <c r="B76" t="s" s="27">
        <v>341</v>
      </c>
      <c r="C76" t="s" s="27">
        <v>304</v>
      </c>
      <c r="D76" s="18">
        <v>1</v>
      </c>
      <c r="E76" t="s" s="27">
        <v>305</v>
      </c>
      <c r="F76" s="18">
        <v>13</v>
      </c>
      <c r="G76" s="18">
        <v>5</v>
      </c>
      <c r="H76" s="18">
        <v>45.9</v>
      </c>
      <c r="I76" s="18">
        <v>37.5</v>
      </c>
      <c r="J76" s="18">
        <v>19.6</v>
      </c>
      <c r="K76" s="36" cm="1">
        <f t="array" ref="K76">'Weights &amp; Method'!$B$10*I76+'Weights &amp; Method'!$B$11*J76</f>
        <v>30.34</v>
      </c>
      <c r="L76" s="36">
        <v>83.59999999999999</v>
      </c>
      <c r="M76" s="36" cm="1">
        <f t="array" ref="M76">'Weights &amp; Method'!$B$4*K76+'Weights &amp; Method'!$B$5*L76+'Weights &amp; Method'!$B$6*100*D76</f>
        <v>56.767</v>
      </c>
      <c r="N76" s="36">
        <v>49</v>
      </c>
      <c r="O76" t="str" s="37" cm="1">
        <f t="array" ref="O76">IF(N76&lt;='Weights &amp; Method'!$B$13,"Yes","No")</f>
        <v>No</v>
      </c>
      <c r="P76" s="18">
        <v>82</v>
      </c>
      <c r="Q76" t="s" s="27">
        <v>342</v>
      </c>
    </row>
    <row r="77" ht="14.6" customHeight="1">
      <c r="A77" t="s" s="27">
        <v>343</v>
      </c>
      <c r="B77" t="s" s="27">
        <v>344</v>
      </c>
      <c r="C77" t="s" s="27">
        <v>304</v>
      </c>
      <c r="D77" s="18">
        <v>0</v>
      </c>
      <c r="E77" t="s" s="27">
        <v>305</v>
      </c>
      <c r="F77" s="18">
        <v>32</v>
      </c>
      <c r="G77" s="18">
        <v>18</v>
      </c>
      <c r="H77" s="18">
        <v>84.59999999999999</v>
      </c>
      <c r="I77" s="18">
        <v>55.1</v>
      </c>
      <c r="J77" s="18">
        <v>56.5</v>
      </c>
      <c r="K77" s="36" cm="1">
        <f t="array" ref="K77">'Weights &amp; Method'!$B$10*I77+'Weights &amp; Method'!$B$11*J77</f>
        <v>55.66</v>
      </c>
      <c r="L77" s="36">
        <v>79.5</v>
      </c>
      <c r="M77" s="36" cm="1">
        <f t="array" ref="M77">'Weights &amp; Method'!$B$4*K77+'Weights &amp; Method'!$B$5*L77+'Weights &amp; Method'!$B$6*100*D77</f>
        <v>54.463</v>
      </c>
      <c r="N77" s="36">
        <v>52</v>
      </c>
      <c r="O77" t="str" s="37" cm="1">
        <f t="array" ref="O77">IF(N77&lt;='Weights &amp; Method'!$B$13,"Yes","No")</f>
        <v>No</v>
      </c>
      <c r="P77" s="18">
        <v>33</v>
      </c>
      <c r="Q77" s="18"/>
    </row>
    <row r="78" ht="14.6" customHeight="1">
      <c r="A78" t="s" s="27">
        <v>345</v>
      </c>
      <c r="B78" t="s" s="27">
        <v>346</v>
      </c>
      <c r="C78" t="s" s="27">
        <v>304</v>
      </c>
      <c r="D78" s="18">
        <v>0</v>
      </c>
      <c r="E78" t="s" s="27">
        <v>305</v>
      </c>
      <c r="F78" s="18">
        <v>28</v>
      </c>
      <c r="G78" s="18">
        <v>14</v>
      </c>
      <c r="H78" s="18">
        <v>86.2</v>
      </c>
      <c r="I78" s="18">
        <v>55.8</v>
      </c>
      <c r="J78" s="18">
        <v>46.9</v>
      </c>
      <c r="K78" s="36" cm="1">
        <f t="array" ref="K78">'Weights &amp; Method'!$B$10*I78+'Weights &amp; Method'!$B$11*J78</f>
        <v>52.24</v>
      </c>
      <c r="L78" s="36">
        <v>84.90000000000001</v>
      </c>
      <c r="M78" s="36" cm="1">
        <f t="array" ref="M78">'Weights &amp; Method'!$B$4*K78+'Weights &amp; Method'!$B$5*L78+'Weights &amp; Method'!$B$6*100*D78</f>
        <v>54.202</v>
      </c>
      <c r="N78" s="36">
        <v>53</v>
      </c>
      <c r="O78" t="str" s="37" cm="1">
        <f t="array" ref="O78">IF(N78&lt;='Weights &amp; Method'!$B$13,"Yes","No")</f>
        <v>No</v>
      </c>
      <c r="P78" s="18">
        <v>34</v>
      </c>
      <c r="Q78" s="18"/>
    </row>
    <row r="79" ht="14.6" customHeight="1">
      <c r="A79" t="s" s="27">
        <v>347</v>
      </c>
      <c r="B79" t="s" s="27">
        <v>348</v>
      </c>
      <c r="C79" t="s" s="27">
        <v>304</v>
      </c>
      <c r="D79" s="18">
        <v>1</v>
      </c>
      <c r="E79" t="s" s="27">
        <v>305</v>
      </c>
      <c r="F79" s="18">
        <v>20</v>
      </c>
      <c r="G79" s="18">
        <v>10</v>
      </c>
      <c r="H79" s="18">
        <v>73.40000000000001</v>
      </c>
      <c r="I79" s="18">
        <v>44.9</v>
      </c>
      <c r="J79" s="18">
        <v>33.5</v>
      </c>
      <c r="K79" s="36" cm="1">
        <f t="array" ref="K79">'Weights &amp; Method'!$B$10*I79+'Weights &amp; Method'!$B$11*J79</f>
        <v>40.34</v>
      </c>
      <c r="L79" s="36">
        <v>49.3</v>
      </c>
      <c r="M79" s="36" cm="1">
        <f t="array" ref="M79">'Weights &amp; Method'!$B$4*K79+'Weights &amp; Method'!$B$5*L79+'Weights &amp; Method'!$B$6*100*D79</f>
        <v>51.977</v>
      </c>
      <c r="N79" s="36">
        <v>59</v>
      </c>
      <c r="O79" t="str" s="37" cm="1">
        <f t="array" ref="O79">IF(N79&lt;='Weights &amp; Method'!$B$13,"Yes","No")</f>
        <v>No</v>
      </c>
      <c r="P79" s="18">
        <v>97</v>
      </c>
      <c r="Q79" t="s" s="27">
        <v>349</v>
      </c>
    </row>
    <row r="80" ht="14.6" customHeight="1">
      <c r="A80" t="s" s="27">
        <v>350</v>
      </c>
      <c r="B80" t="s" s="27">
        <v>351</v>
      </c>
      <c r="C80" t="s" s="27">
        <v>304</v>
      </c>
      <c r="D80" s="18">
        <v>0</v>
      </c>
      <c r="E80" t="s" s="27">
        <v>305</v>
      </c>
      <c r="F80" s="18">
        <v>24</v>
      </c>
      <c r="G80" s="18">
        <v>10</v>
      </c>
      <c r="H80" s="18">
        <v>78.90000000000001</v>
      </c>
      <c r="I80" s="18">
        <v>53.4</v>
      </c>
      <c r="J80" s="18">
        <v>37.4</v>
      </c>
      <c r="K80" s="36" cm="1">
        <f t="array" ref="K80">'Weights &amp; Method'!$B$10*I80+'Weights &amp; Method'!$B$11*J80</f>
        <v>47</v>
      </c>
      <c r="L80" s="36">
        <v>84.90000000000001</v>
      </c>
      <c r="M80" s="36" cm="1">
        <f t="array" ref="M80">'Weights &amp; Method'!$B$4*K80+'Weights &amp; Method'!$B$5*L80+'Weights &amp; Method'!$B$6*100*D80</f>
        <v>51.32</v>
      </c>
      <c r="N80" s="36">
        <v>62</v>
      </c>
      <c r="O80" t="str" s="37" cm="1">
        <f t="array" ref="O80">IF(N80&lt;='Weights &amp; Method'!$B$13,"Yes","No")</f>
        <v>No</v>
      </c>
      <c r="P80" s="18">
        <v>50</v>
      </c>
      <c r="Q80" s="18"/>
    </row>
    <row r="81" ht="14.6" customHeight="1">
      <c r="A81" t="s" s="27">
        <v>352</v>
      </c>
      <c r="B81" t="s" s="27">
        <v>353</v>
      </c>
      <c r="C81" t="s" s="27">
        <v>304</v>
      </c>
      <c r="D81" s="18">
        <v>0</v>
      </c>
      <c r="E81" t="s" s="27">
        <v>305</v>
      </c>
      <c r="F81" s="18">
        <v>15</v>
      </c>
      <c r="G81" s="18">
        <v>8</v>
      </c>
      <c r="H81" s="18">
        <v>73.90000000000001</v>
      </c>
      <c r="I81" s="18">
        <v>51.2</v>
      </c>
      <c r="J81" s="18">
        <v>25.9</v>
      </c>
      <c r="K81" s="36" cm="1">
        <f t="array" ref="K81">'Weights &amp; Method'!$B$10*I81+'Weights &amp; Method'!$B$11*J81</f>
        <v>41.08</v>
      </c>
      <c r="L81" s="36">
        <v>87</v>
      </c>
      <c r="M81" s="36" cm="1">
        <f t="array" ref="M81">'Weights &amp; Method'!$B$4*K81+'Weights &amp; Method'!$B$5*L81+'Weights &amp; Method'!$B$6*100*D81</f>
        <v>48.694</v>
      </c>
      <c r="N81" s="36">
        <v>68</v>
      </c>
      <c r="O81" t="str" s="37" cm="1">
        <f t="array" ref="O81">IF(N81&lt;='Weights &amp; Method'!$B$13,"Yes","No")</f>
        <v>No</v>
      </c>
      <c r="P81" s="18">
        <v>58</v>
      </c>
      <c r="Q81" t="s" s="27">
        <v>260</v>
      </c>
    </row>
    <row r="82" ht="14.6" customHeight="1">
      <c r="A82" t="s" s="27">
        <v>354</v>
      </c>
      <c r="B82" t="s" s="27">
        <v>355</v>
      </c>
      <c r="C82" t="s" s="27">
        <v>304</v>
      </c>
      <c r="D82" s="18">
        <v>0</v>
      </c>
      <c r="E82" t="s" s="27">
        <v>305</v>
      </c>
      <c r="F82" s="18">
        <v>8</v>
      </c>
      <c r="G82" s="18">
        <v>6</v>
      </c>
      <c r="H82" s="18">
        <v>77.7</v>
      </c>
      <c r="I82" s="18">
        <v>50.4</v>
      </c>
      <c r="J82" s="18">
        <v>16.3</v>
      </c>
      <c r="K82" s="36" cm="1">
        <f t="array" ref="K82">'Weights &amp; Method'!$B$10*I82+'Weights &amp; Method'!$B$11*J82</f>
        <v>36.76</v>
      </c>
      <c r="L82" s="36">
        <v>93.5</v>
      </c>
      <c r="M82" s="36" cm="1">
        <f t="array" ref="M82">'Weights &amp; Method'!$B$4*K82+'Weights &amp; Method'!$B$5*L82+'Weights &amp; Method'!$B$6*100*D82</f>
        <v>48.268</v>
      </c>
      <c r="N82" s="36">
        <v>72</v>
      </c>
      <c r="O82" t="str" s="37" cm="1">
        <f t="array" ref="O82">IF(N82&lt;='Weights &amp; Method'!$B$13,"Yes","No")</f>
        <v>No</v>
      </c>
      <c r="P82" s="18">
        <v>63</v>
      </c>
      <c r="Q82" t="s" s="27">
        <v>356</v>
      </c>
    </row>
    <row r="83" ht="14.6" customHeight="1">
      <c r="A83" t="s" s="27">
        <v>357</v>
      </c>
      <c r="B83" t="s" s="27">
        <v>358</v>
      </c>
      <c r="C83" t="s" s="27">
        <v>304</v>
      </c>
      <c r="D83" s="18">
        <v>1</v>
      </c>
      <c r="E83" t="s" s="27">
        <v>305</v>
      </c>
      <c r="F83" s="18">
        <v>17</v>
      </c>
      <c r="G83" s="18">
        <v>11</v>
      </c>
      <c r="H83" s="18">
        <v>79.8</v>
      </c>
      <c r="I83" s="18">
        <v>51.1</v>
      </c>
      <c r="J83" s="18">
        <v>32.1</v>
      </c>
      <c r="K83" s="36" cm="1">
        <f t="array" ref="K83">'Weights &amp; Method'!$B$10*I83+'Weights &amp; Method'!$B$11*J83</f>
        <v>43.5</v>
      </c>
      <c r="L83" s="36">
        <v>29.9</v>
      </c>
      <c r="M83" s="36" cm="1">
        <f t="array" ref="M83">'Weights &amp; Method'!$B$4*K83+'Weights &amp; Method'!$B$5*L83+'Weights &amp; Method'!$B$6*100*D83</f>
        <v>47.895</v>
      </c>
      <c r="N83" s="36">
        <v>74</v>
      </c>
      <c r="O83" t="str" s="37" cm="1">
        <f t="array" ref="O83">IF(N83&lt;='Weights &amp; Method'!$B$13,"Yes","No")</f>
        <v>No</v>
      </c>
      <c r="P83" s="18">
        <v>103</v>
      </c>
      <c r="Q83" t="s" s="27">
        <v>359</v>
      </c>
    </row>
    <row r="84" ht="14.6" customHeight="1">
      <c r="A84" t="s" s="27">
        <v>360</v>
      </c>
      <c r="B84" t="s" s="27">
        <v>361</v>
      </c>
      <c r="C84" t="s" s="27">
        <v>304</v>
      </c>
      <c r="D84" s="18">
        <v>0</v>
      </c>
      <c r="E84" t="s" s="27">
        <v>305</v>
      </c>
      <c r="F84" s="18">
        <v>10</v>
      </c>
      <c r="G84" s="18">
        <v>5</v>
      </c>
      <c r="H84" s="18">
        <v>74.2</v>
      </c>
      <c r="I84" s="18">
        <v>44.9</v>
      </c>
      <c r="J84" s="18">
        <v>16.8</v>
      </c>
      <c r="K84" s="36" cm="1">
        <f t="array" ref="K84">'Weights &amp; Method'!$B$10*I84+'Weights &amp; Method'!$B$11*J84</f>
        <v>33.66</v>
      </c>
      <c r="L84" s="36">
        <v>90.40000000000001</v>
      </c>
      <c r="M84" s="36" cm="1">
        <f t="array" ref="M84">'Weights &amp; Method'!$B$4*K84+'Weights &amp; Method'!$B$5*L84+'Weights &amp; Method'!$B$6*100*D84</f>
        <v>45.633</v>
      </c>
      <c r="N84" s="36">
        <v>77</v>
      </c>
      <c r="O84" t="str" s="37" cm="1">
        <f t="array" ref="O84">IF(N84&lt;='Weights &amp; Method'!$B$13,"Yes","No")</f>
        <v>No</v>
      </c>
      <c r="P84" s="18">
        <v>71</v>
      </c>
      <c r="Q84" t="s" s="27">
        <v>362</v>
      </c>
    </row>
    <row r="85" ht="14.6" customHeight="1">
      <c r="A85" t="s" s="27">
        <v>363</v>
      </c>
      <c r="B85" t="s" s="27">
        <v>364</v>
      </c>
      <c r="C85" t="s" s="27">
        <v>304</v>
      </c>
      <c r="D85" s="18">
        <v>0</v>
      </c>
      <c r="E85" t="s" s="27">
        <v>305</v>
      </c>
      <c r="F85" s="18">
        <v>2</v>
      </c>
      <c r="G85" s="18">
        <v>0</v>
      </c>
      <c r="H85" s="18">
        <v>76.7</v>
      </c>
      <c r="I85" s="18">
        <v>44.8</v>
      </c>
      <c r="J85" s="18">
        <v>1.9</v>
      </c>
      <c r="K85" s="36" cm="1">
        <f t="array" ref="K85">'Weights &amp; Method'!$B$10*I85+'Weights &amp; Method'!$B$11*J85</f>
        <v>27.64</v>
      </c>
      <c r="L85" s="36">
        <v>89.59999999999999</v>
      </c>
      <c r="M85" s="36" cm="1">
        <f t="array" ref="M85">'Weights &amp; Method'!$B$4*K85+'Weights &amp; Method'!$B$5*L85+'Weights &amp; Method'!$B$6*100*D85</f>
        <v>42.082</v>
      </c>
      <c r="N85" s="36">
        <v>84</v>
      </c>
      <c r="O85" t="str" s="37" cm="1">
        <f t="array" ref="O85">IF(N85&lt;='Weights &amp; Method'!$B$13,"Yes","No")</f>
        <v>No</v>
      </c>
      <c r="P85" s="18">
        <v>81</v>
      </c>
      <c r="Q85" t="s" s="27">
        <v>190</v>
      </c>
    </row>
    <row r="86" ht="14.6" customHeight="1">
      <c r="A86" t="s" s="27">
        <v>365</v>
      </c>
      <c r="B86" t="s" s="27">
        <v>366</v>
      </c>
      <c r="C86" t="s" s="27">
        <v>304</v>
      </c>
      <c r="D86" s="18">
        <v>0</v>
      </c>
      <c r="E86" t="s" s="27">
        <v>305</v>
      </c>
      <c r="F86" s="18">
        <v>1</v>
      </c>
      <c r="G86" s="18">
        <v>0</v>
      </c>
      <c r="H86" s="18">
        <v>62.5</v>
      </c>
      <c r="I86" s="18">
        <v>48.2</v>
      </c>
      <c r="J86" s="18">
        <v>1</v>
      </c>
      <c r="K86" s="36" cm="1">
        <f t="array" ref="K86">'Weights &amp; Method'!$B$10*I86+'Weights &amp; Method'!$B$11*J86</f>
        <v>29.32</v>
      </c>
      <c r="L86" s="36">
        <v>83.09999999999999</v>
      </c>
      <c r="M86" s="36" cm="1">
        <f t="array" ref="M86">'Weights &amp; Method'!$B$4*K86+'Weights &amp; Method'!$B$5*L86+'Weights &amp; Method'!$B$6*100*D86</f>
        <v>41.056</v>
      </c>
      <c r="N86" s="36">
        <v>87</v>
      </c>
      <c r="O86" t="str" s="37" cm="1">
        <f t="array" ref="O86">IF(N86&lt;='Weights &amp; Method'!$B$13,"Yes","No")</f>
        <v>No</v>
      </c>
      <c r="P86" s="18">
        <v>85</v>
      </c>
      <c r="Q86" t="s" s="27">
        <v>367</v>
      </c>
    </row>
    <row r="87" ht="14.6" customHeight="1">
      <c r="A87" t="s" s="27">
        <v>368</v>
      </c>
      <c r="B87" t="s" s="27">
        <v>369</v>
      </c>
      <c r="C87" t="s" s="27">
        <v>304</v>
      </c>
      <c r="D87" s="18">
        <v>0</v>
      </c>
      <c r="E87" t="s" s="27">
        <v>305</v>
      </c>
      <c r="F87" s="18">
        <v>11</v>
      </c>
      <c r="G87" s="18">
        <v>7</v>
      </c>
      <c r="H87" s="18">
        <v>75.3</v>
      </c>
      <c r="I87" s="18">
        <v>41.9</v>
      </c>
      <c r="J87" s="18">
        <v>20.6</v>
      </c>
      <c r="K87" s="36" cm="1">
        <f t="array" ref="K87">'Weights &amp; Method'!$B$10*I87+'Weights &amp; Method'!$B$11*J87</f>
        <v>33.38</v>
      </c>
      <c r="L87" s="36">
        <v>71.40000000000001</v>
      </c>
      <c r="M87" s="36" cm="1">
        <f t="array" ref="M87">'Weights &amp; Method'!$B$4*K87+'Weights &amp; Method'!$B$5*L87+'Weights &amp; Method'!$B$6*100*D87</f>
        <v>39.779</v>
      </c>
      <c r="N87" s="36">
        <v>92</v>
      </c>
      <c r="O87" t="str" s="37" cm="1">
        <f t="array" ref="O87">IF(N87&lt;='Weights &amp; Method'!$B$13,"Yes","No")</f>
        <v>No</v>
      </c>
      <c r="P87" s="18">
        <v>90</v>
      </c>
      <c r="Q87" t="s" s="27">
        <v>370</v>
      </c>
    </row>
    <row r="88" ht="14.6" customHeight="1">
      <c r="A88" t="s" s="27">
        <v>371</v>
      </c>
      <c r="B88" t="s" s="27">
        <v>372</v>
      </c>
      <c r="C88" t="s" s="27">
        <v>304</v>
      </c>
      <c r="D88" s="18">
        <v>0</v>
      </c>
      <c r="E88" t="s" s="27">
        <v>305</v>
      </c>
      <c r="F88" s="18">
        <v>12</v>
      </c>
      <c r="G88" s="18">
        <v>3</v>
      </c>
      <c r="H88" s="18">
        <v>81.90000000000001</v>
      </c>
      <c r="I88" s="18">
        <v>62</v>
      </c>
      <c r="J88" s="18">
        <v>15.8</v>
      </c>
      <c r="K88" s="36" cm="1">
        <f t="array" ref="K88">'Weights &amp; Method'!$B$10*I88+'Weights &amp; Method'!$B$11*J88</f>
        <v>43.52</v>
      </c>
      <c r="L88" s="36">
        <v>52.1</v>
      </c>
      <c r="M88" s="36" cm="1">
        <f t="array" ref="M88">'Weights &amp; Method'!$B$4*K88+'Weights &amp; Method'!$B$5*L88+'Weights &amp; Method'!$B$6*100*D88</f>
        <v>39.566</v>
      </c>
      <c r="N88" s="36">
        <v>93</v>
      </c>
      <c r="O88" t="str" s="37" cm="1">
        <f t="array" ref="O88">IF(N88&lt;='Weights &amp; Method'!$B$13,"Yes","No")</f>
        <v>No</v>
      </c>
      <c r="P88" s="18">
        <v>91</v>
      </c>
      <c r="Q88" t="s" s="27">
        <v>373</v>
      </c>
    </row>
    <row r="89" ht="14.6" customHeight="1">
      <c r="A89" t="s" s="27">
        <v>374</v>
      </c>
      <c r="B89" t="s" s="27">
        <v>375</v>
      </c>
      <c r="C89" t="s" s="27">
        <v>304</v>
      </c>
      <c r="D89" s="18">
        <v>0</v>
      </c>
      <c r="E89" t="s" s="27">
        <v>305</v>
      </c>
      <c r="F89" s="18">
        <v>4</v>
      </c>
      <c r="G89" s="18">
        <v>2</v>
      </c>
      <c r="H89" s="18">
        <v>63.8</v>
      </c>
      <c r="I89" s="18">
        <v>43.7</v>
      </c>
      <c r="J89" s="18">
        <v>6.7</v>
      </c>
      <c r="K89" s="36" cm="1">
        <f t="array" ref="K89">'Weights &amp; Method'!$B$10*I89+'Weights &amp; Method'!$B$11*J89</f>
        <v>28.9</v>
      </c>
      <c r="L89" s="36">
        <v>59.7</v>
      </c>
      <c r="M89" s="36" cm="1">
        <f t="array" ref="M89">'Weights &amp; Method'!$B$4*K89+'Weights &amp; Method'!$B$5*L89+'Weights &amp; Method'!$B$6*100*D89</f>
        <v>33.805</v>
      </c>
      <c r="N89" s="36">
        <v>102</v>
      </c>
      <c r="O89" t="str" s="37" cm="1">
        <f t="array" ref="O89">IF(N89&lt;='Weights &amp; Method'!$B$13,"Yes","No")</f>
        <v>No</v>
      </c>
      <c r="P89" s="18">
        <v>101</v>
      </c>
      <c r="Q89" t="s" s="27">
        <v>376</v>
      </c>
    </row>
    <row r="90" ht="14.6" customHeight="1">
      <c r="A90" t="s" s="27">
        <v>377</v>
      </c>
      <c r="B90" t="s" s="27">
        <v>378</v>
      </c>
      <c r="C90" t="s" s="27">
        <v>304</v>
      </c>
      <c r="D90" s="18">
        <v>0</v>
      </c>
      <c r="E90" t="s" s="27">
        <v>305</v>
      </c>
      <c r="F90" s="18">
        <v>1</v>
      </c>
      <c r="G90" s="18">
        <v>0</v>
      </c>
      <c r="H90" s="18">
        <v>48.3</v>
      </c>
      <c r="I90" s="18">
        <v>43.1</v>
      </c>
      <c r="J90" s="18">
        <v>1</v>
      </c>
      <c r="K90" s="36" cm="1">
        <f t="array" ref="K90">'Weights &amp; Method'!$B$10*I90+'Weights &amp; Method'!$B$11*J90</f>
        <v>26.26</v>
      </c>
      <c r="L90" s="36">
        <v>58.4</v>
      </c>
      <c r="M90" s="36" cm="1">
        <f t="array" ref="M90">'Weights &amp; Method'!$B$4*K90+'Weights &amp; Method'!$B$5*L90+'Weights &amp; Method'!$B$6*100*D90</f>
        <v>31.963</v>
      </c>
      <c r="N90" s="36">
        <v>106</v>
      </c>
      <c r="O90" t="str" s="37" cm="1">
        <f t="array" ref="O90">IF(N90&lt;='Weights &amp; Method'!$B$13,"Yes","No")</f>
        <v>No</v>
      </c>
      <c r="P90" s="18">
        <v>106</v>
      </c>
      <c r="Q90" t="s" s="27">
        <v>379</v>
      </c>
    </row>
    <row r="91" ht="14.6" customHeight="1">
      <c r="A91" t="s" s="27">
        <v>380</v>
      </c>
      <c r="B91" t="s" s="27">
        <v>381</v>
      </c>
      <c r="C91" t="s" s="27">
        <v>304</v>
      </c>
      <c r="D91" s="18">
        <v>0</v>
      </c>
      <c r="E91" t="s" s="27">
        <v>305</v>
      </c>
      <c r="F91" s="18">
        <v>1</v>
      </c>
      <c r="G91" s="18">
        <v>0</v>
      </c>
      <c r="H91" s="18">
        <v>16.2</v>
      </c>
      <c r="I91" s="18">
        <v>45.5</v>
      </c>
      <c r="J91" s="18">
        <v>1</v>
      </c>
      <c r="K91" s="36" cm="1">
        <f t="array" ref="K91">'Weights &amp; Method'!$B$10*I91+'Weights &amp; Method'!$B$11*J91</f>
        <v>27.7</v>
      </c>
      <c r="L91" s="36">
        <v>52.1</v>
      </c>
      <c r="M91" s="36" cm="1">
        <f t="array" ref="M91">'Weights &amp; Method'!$B$4*K91+'Weights &amp; Method'!$B$5*L91+'Weights &amp; Method'!$B$6*100*D91</f>
        <v>30.865</v>
      </c>
      <c r="N91" s="36">
        <v>108</v>
      </c>
      <c r="O91" t="str" s="37" cm="1">
        <f t="array" ref="O91">IF(N91&lt;='Weights &amp; Method'!$B$13,"Yes","No")</f>
        <v>No</v>
      </c>
      <c r="P91" s="18">
        <v>108</v>
      </c>
      <c r="Q91" t="s" s="27">
        <v>382</v>
      </c>
    </row>
    <row r="92" ht="14.6" customHeight="1">
      <c r="A92" t="s" s="27">
        <v>383</v>
      </c>
      <c r="B92" t="s" s="27">
        <v>384</v>
      </c>
      <c r="C92" t="s" s="27">
        <v>304</v>
      </c>
      <c r="D92" s="18">
        <v>0</v>
      </c>
      <c r="E92" t="s" s="27">
        <v>305</v>
      </c>
      <c r="F92" s="18">
        <v>5</v>
      </c>
      <c r="G92" s="18">
        <v>2</v>
      </c>
      <c r="H92" s="18">
        <v>45.8</v>
      </c>
      <c r="I92" s="18">
        <v>33.7</v>
      </c>
      <c r="J92" s="18">
        <v>7.7</v>
      </c>
      <c r="K92" s="36" cm="1">
        <f t="array" ref="K92">'Weights &amp; Method'!$B$10*I92+'Weights &amp; Method'!$B$11*J92</f>
        <v>23.3</v>
      </c>
      <c r="L92" s="36">
        <v>43.8</v>
      </c>
      <c r="M92" s="36" cm="1">
        <f t="array" ref="M92">'Weights &amp; Method'!$B$4*K92+'Weights &amp; Method'!$B$5*L92+'Weights &amp; Method'!$B$6*100*D92</f>
        <v>25.955</v>
      </c>
      <c r="N92" s="36">
        <v>110</v>
      </c>
      <c r="O92" t="str" s="37" cm="1">
        <f t="array" ref="O92">IF(N92&lt;='Weights &amp; Method'!$B$13,"Yes","No")</f>
        <v>No</v>
      </c>
      <c r="P92" s="18">
        <v>110</v>
      </c>
      <c r="Q92" t="s" s="27">
        <v>385</v>
      </c>
    </row>
    <row r="93" ht="14.6" customHeight="1">
      <c r="A93" t="s" s="27">
        <v>386</v>
      </c>
      <c r="B93" t="s" s="27">
        <v>387</v>
      </c>
      <c r="C93" t="s" s="27">
        <v>304</v>
      </c>
      <c r="D93" s="18">
        <v>0</v>
      </c>
      <c r="E93" t="s" s="27">
        <v>305</v>
      </c>
      <c r="F93" s="18">
        <v>9</v>
      </c>
      <c r="G93" s="18">
        <v>0</v>
      </c>
      <c r="H93" s="18">
        <v>84.8</v>
      </c>
      <c r="I93" s="18">
        <v>56.4</v>
      </c>
      <c r="J93" s="18">
        <v>8.699999999999999</v>
      </c>
      <c r="K93" s="36" cm="1">
        <f t="array" ref="K93">'Weights &amp; Method'!$B$10*I93+'Weights &amp; Method'!$B$11*J93</f>
        <v>37.32</v>
      </c>
      <c r="L93" s="36">
        <v>11</v>
      </c>
      <c r="M93" s="36" cm="1">
        <f t="array" ref="M93">'Weights &amp; Method'!$B$4*K93+'Weights &amp; Method'!$B$5*L93+'Weights &amp; Method'!$B$6*100*D93</f>
        <v>23.826</v>
      </c>
      <c r="N93" s="36">
        <v>113</v>
      </c>
      <c r="O93" t="str" s="37" cm="1">
        <f t="array" ref="O93">IF(N93&lt;='Weights &amp; Method'!$B$13,"Yes","No")</f>
        <v>No</v>
      </c>
      <c r="P93" s="18">
        <v>113</v>
      </c>
      <c r="Q93" t="s" s="27">
        <v>388</v>
      </c>
    </row>
    <row r="94" ht="14.6" customHeight="1">
      <c r="A94" t="s" s="27">
        <v>389</v>
      </c>
      <c r="B94" t="s" s="27">
        <v>390</v>
      </c>
      <c r="C94" t="s" s="27">
        <v>304</v>
      </c>
      <c r="D94" s="18">
        <v>0</v>
      </c>
      <c r="E94" t="s" s="27">
        <v>305</v>
      </c>
      <c r="F94" s="18">
        <v>1</v>
      </c>
      <c r="G94" s="18">
        <v>0</v>
      </c>
      <c r="H94" s="18">
        <v>37.5</v>
      </c>
      <c r="I94" s="18">
        <v>42.5</v>
      </c>
      <c r="J94" s="18">
        <v>1</v>
      </c>
      <c r="K94" s="36" cm="1">
        <f t="array" ref="K94">'Weights &amp; Method'!$B$10*I94+'Weights &amp; Method'!$B$11*J94</f>
        <v>25.9</v>
      </c>
      <c r="L94" s="36">
        <v>28.6</v>
      </c>
      <c r="M94" s="36" cm="1">
        <f t="array" ref="M94">'Weights &amp; Method'!$B$4*K94+'Weights &amp; Method'!$B$5*L94+'Weights &amp; Method'!$B$6*100*D94</f>
        <v>22.825</v>
      </c>
      <c r="N94" s="36">
        <v>114</v>
      </c>
      <c r="O94" t="str" s="37" cm="1">
        <f t="array" ref="O94">IF(N94&lt;='Weights &amp; Method'!$B$13,"Yes","No")</f>
        <v>No</v>
      </c>
      <c r="P94" s="18">
        <v>114</v>
      </c>
      <c r="Q94" t="s" s="27">
        <v>391</v>
      </c>
    </row>
    <row r="95" ht="14.6" customHeight="1">
      <c r="A95" t="s" s="27">
        <v>392</v>
      </c>
      <c r="B95" t="s" s="27">
        <v>393</v>
      </c>
      <c r="C95" t="s" s="27">
        <v>304</v>
      </c>
      <c r="D95" s="18">
        <v>0</v>
      </c>
      <c r="E95" t="s" s="27">
        <v>305</v>
      </c>
      <c r="F95" s="18">
        <v>0</v>
      </c>
      <c r="G95" s="18">
        <v>0</v>
      </c>
      <c r="H95" s="18"/>
      <c r="I95" s="18">
        <v>0</v>
      </c>
      <c r="J95" s="18">
        <v>0</v>
      </c>
      <c r="K95" s="36" cm="1">
        <f t="array" ref="K95">'Weights &amp; Method'!$B$10*I95+'Weights &amp; Method'!$B$11*J95</f>
        <v>0</v>
      </c>
      <c r="L95" s="36">
        <v>50.7</v>
      </c>
      <c r="M95" s="36" cm="1">
        <f t="array" ref="M95">'Weights &amp; Method'!$B$4*K95+'Weights &amp; Method'!$B$5*L95+'Weights &amp; Method'!$B$6*100*D95</f>
        <v>15.21</v>
      </c>
      <c r="N95" s="36">
        <v>118</v>
      </c>
      <c r="O95" t="str" s="37" cm="1">
        <f t="array" ref="O95">IF(N95&lt;='Weights &amp; Method'!$B$13,"Yes","No")</f>
        <v>No</v>
      </c>
      <c r="P95" s="18">
        <v>118</v>
      </c>
      <c r="Q95" t="s" s="27">
        <v>394</v>
      </c>
    </row>
    <row r="96" ht="14.6" customHeight="1">
      <c r="A96" t="s" s="27">
        <v>395</v>
      </c>
      <c r="B96" t="s" s="27">
        <v>396</v>
      </c>
      <c r="C96" t="s" s="27">
        <v>304</v>
      </c>
      <c r="D96" s="18">
        <v>0</v>
      </c>
      <c r="E96" t="s" s="27">
        <v>305</v>
      </c>
      <c r="F96" s="18">
        <v>0</v>
      </c>
      <c r="G96" s="18">
        <v>0</v>
      </c>
      <c r="H96" s="18"/>
      <c r="I96" s="18">
        <v>0</v>
      </c>
      <c r="J96" s="18">
        <v>0</v>
      </c>
      <c r="K96" s="36" cm="1">
        <f t="array" ref="K96">'Weights &amp; Method'!$B$10*I96+'Weights &amp; Method'!$B$11*J96</f>
        <v>0</v>
      </c>
      <c r="L96" s="36">
        <v>45.2</v>
      </c>
      <c r="M96" s="36" cm="1">
        <f t="array" ref="M96">'Weights &amp; Method'!$B$4*K96+'Weights &amp; Method'!$B$5*L96+'Weights &amp; Method'!$B$6*100*D96</f>
        <v>13.56</v>
      </c>
      <c r="N96" s="36">
        <v>119</v>
      </c>
      <c r="O96" t="str" s="37" cm="1">
        <f t="array" ref="O96">IF(N96&lt;='Weights &amp; Method'!$B$13,"Yes","No")</f>
        <v>No</v>
      </c>
      <c r="P96" s="18">
        <v>119</v>
      </c>
      <c r="Q96" t="s" s="27">
        <v>397</v>
      </c>
    </row>
    <row r="97" ht="14.6" customHeight="1">
      <c r="A97" t="s" s="27">
        <v>398</v>
      </c>
      <c r="B97" t="s" s="27">
        <v>399</v>
      </c>
      <c r="C97" t="s" s="27">
        <v>304</v>
      </c>
      <c r="D97" s="18">
        <v>0</v>
      </c>
      <c r="E97" t="s" s="27">
        <v>305</v>
      </c>
      <c r="F97" s="18">
        <v>0</v>
      </c>
      <c r="G97" s="18">
        <v>0</v>
      </c>
      <c r="H97" s="18"/>
      <c r="I97" s="18">
        <v>0</v>
      </c>
      <c r="J97" s="18">
        <v>0</v>
      </c>
      <c r="K97" s="36" cm="1">
        <f t="array" ref="K97">'Weights &amp; Method'!$B$10*I97+'Weights &amp; Method'!$B$11*J97</f>
        <v>0</v>
      </c>
      <c r="L97" s="36">
        <v>12.3</v>
      </c>
      <c r="M97" s="36" cm="1">
        <f t="array" ref="M97">'Weights &amp; Method'!$B$4*K97+'Weights &amp; Method'!$B$5*L97+'Weights &amp; Method'!$B$6*100*D97</f>
        <v>3.69</v>
      </c>
      <c r="N97" s="36">
        <v>121</v>
      </c>
      <c r="O97" t="str" s="37" cm="1">
        <f t="array" ref="O97">IF(N97&lt;='Weights &amp; Method'!$B$13,"Yes","No")</f>
        <v>No</v>
      </c>
      <c r="P97" s="18">
        <v>121</v>
      </c>
      <c r="Q97" t="s" s="27">
        <v>400</v>
      </c>
    </row>
    <row r="98" ht="14.6" customHeight="1">
      <c r="A98" t="s" s="27">
        <v>401</v>
      </c>
      <c r="B98" t="s" s="27">
        <v>402</v>
      </c>
      <c r="C98" t="s" s="27">
        <v>403</v>
      </c>
      <c r="D98" s="18">
        <v>1</v>
      </c>
      <c r="E98" t="s" s="27">
        <v>404</v>
      </c>
      <c r="F98" s="18">
        <v>32</v>
      </c>
      <c r="G98" s="18">
        <v>18</v>
      </c>
      <c r="H98" s="18">
        <v>75.59999999999999</v>
      </c>
      <c r="I98" s="18">
        <v>56.8</v>
      </c>
      <c r="J98" s="18">
        <v>56.5</v>
      </c>
      <c r="K98" s="36" cm="1">
        <f t="array" ref="K98">'Weights &amp; Method'!$B$10*I98+'Weights &amp; Method'!$B$11*J98</f>
        <v>56.68</v>
      </c>
      <c r="L98" s="36">
        <v>100</v>
      </c>
      <c r="M98" s="36" cm="1">
        <f t="array" ref="M98">'Weights &amp; Method'!$B$4*K98+'Weights &amp; Method'!$B$5*L98+'Weights &amp; Method'!$B$6*100*D98</f>
        <v>76.17400000000001</v>
      </c>
      <c r="N98" s="36">
        <v>5</v>
      </c>
      <c r="O98" t="str" s="37" cm="1">
        <f t="array" ref="O98">IF(N98&lt;='Weights &amp; Method'!$B$13,"Yes","No")</f>
        <v>Yes</v>
      </c>
      <c r="P98" s="18">
        <v>14</v>
      </c>
      <c r="Q98" s="18"/>
    </row>
    <row r="99" ht="14.6" customHeight="1">
      <c r="A99" t="s" s="27">
        <v>405</v>
      </c>
      <c r="B99" t="s" s="27">
        <v>406</v>
      </c>
      <c r="C99" t="s" s="27">
        <v>403</v>
      </c>
      <c r="D99" s="18">
        <v>1</v>
      </c>
      <c r="E99" t="s" s="27">
        <v>404</v>
      </c>
      <c r="F99" s="18">
        <v>28</v>
      </c>
      <c r="G99" s="18">
        <v>15</v>
      </c>
      <c r="H99" s="18">
        <v>92.90000000000001</v>
      </c>
      <c r="I99" s="18">
        <v>72.5</v>
      </c>
      <c r="J99" s="18">
        <v>48.4</v>
      </c>
      <c r="K99" s="36" cm="1">
        <f t="array" ref="K99">'Weights &amp; Method'!$B$10*I99+'Weights &amp; Method'!$B$11*J99</f>
        <v>62.86</v>
      </c>
      <c r="L99" s="36">
        <v>86.3</v>
      </c>
      <c r="M99" s="36" cm="1">
        <f t="array" ref="M99">'Weights &amp; Method'!$B$4*K99+'Weights &amp; Method'!$B$5*L99+'Weights &amp; Method'!$B$6*100*D99</f>
        <v>75.46299999999999</v>
      </c>
      <c r="N99" s="36">
        <v>6</v>
      </c>
      <c r="O99" t="str" s="37" cm="1">
        <f t="array" ref="O99">IF(N99&lt;='Weights &amp; Method'!$B$13,"Yes","No")</f>
        <v>Yes</v>
      </c>
      <c r="P99" s="18">
        <v>15</v>
      </c>
      <c r="Q99" s="18"/>
    </row>
    <row r="100" ht="14.6" customHeight="1">
      <c r="A100" t="s" s="27">
        <v>407</v>
      </c>
      <c r="B100" t="s" s="27">
        <v>408</v>
      </c>
      <c r="C100" t="s" s="27">
        <v>403</v>
      </c>
      <c r="D100" s="18">
        <v>0</v>
      </c>
      <c r="E100" t="s" s="27">
        <v>404</v>
      </c>
      <c r="F100" s="18">
        <v>41</v>
      </c>
      <c r="G100" s="18">
        <v>29</v>
      </c>
      <c r="H100" s="18">
        <v>93.2</v>
      </c>
      <c r="I100" s="18">
        <v>70.8</v>
      </c>
      <c r="J100" s="18">
        <v>80.90000000000001</v>
      </c>
      <c r="K100" s="36" cm="1">
        <f t="array" ref="K100">'Weights &amp; Method'!$B$10*I100+'Weights &amp; Method'!$B$11*J100</f>
        <v>74.84</v>
      </c>
      <c r="L100" s="36">
        <v>98.59999999999999</v>
      </c>
      <c r="M100" s="36" cm="1">
        <f t="array" ref="M100">'Weights &amp; Method'!$B$4*K100+'Weights &amp; Method'!$B$5*L100+'Weights &amp; Method'!$B$6*100*D100</f>
        <v>70.742</v>
      </c>
      <c r="N100" s="36">
        <v>12</v>
      </c>
      <c r="O100" t="str" s="37" cm="1">
        <f t="array" ref="O100">IF(N100&lt;='Weights &amp; Method'!$B$13,"Yes","No")</f>
        <v>Yes</v>
      </c>
      <c r="P100" s="18">
        <v>1</v>
      </c>
      <c r="Q100" t="s" s="27">
        <v>156</v>
      </c>
    </row>
    <row r="101" ht="14.6" customHeight="1">
      <c r="A101" t="s" s="27">
        <v>409</v>
      </c>
      <c r="B101" t="s" s="27">
        <v>410</v>
      </c>
      <c r="C101" t="s" s="27">
        <v>403</v>
      </c>
      <c r="D101" s="18">
        <v>1</v>
      </c>
      <c r="E101" t="s" s="27">
        <v>404</v>
      </c>
      <c r="F101" s="18">
        <v>39</v>
      </c>
      <c r="G101" s="18">
        <v>22</v>
      </c>
      <c r="H101" s="18">
        <v>64.90000000000001</v>
      </c>
      <c r="I101" s="18">
        <v>35.3</v>
      </c>
      <c r="J101" s="18">
        <v>68.90000000000001</v>
      </c>
      <c r="K101" s="36" cm="1">
        <f t="array" ref="K101">'Weights &amp; Method'!$B$10*I101+'Weights &amp; Method'!$B$11*J101</f>
        <v>48.74</v>
      </c>
      <c r="L101" s="36">
        <v>83.59999999999999</v>
      </c>
      <c r="M101" s="36" cm="1">
        <f t="array" ref="M101">'Weights &amp; Method'!$B$4*K101+'Weights &amp; Method'!$B$5*L101+'Weights &amp; Method'!$B$6*100*D101</f>
        <v>66.887</v>
      </c>
      <c r="N101" s="36">
        <v>22</v>
      </c>
      <c r="O101" t="str" s="37" cm="1">
        <f t="array" ref="O101">IF(N101&lt;='Weights &amp; Method'!$B$13,"Yes","No")</f>
        <v>Yes</v>
      </c>
      <c r="P101" s="18">
        <v>45</v>
      </c>
      <c r="Q101" t="s" s="27">
        <v>167</v>
      </c>
    </row>
    <row r="102" ht="14.6" customHeight="1">
      <c r="A102" t="s" s="27">
        <v>411</v>
      </c>
      <c r="B102" t="s" s="27">
        <v>412</v>
      </c>
      <c r="C102" t="s" s="27">
        <v>403</v>
      </c>
      <c r="D102" s="18">
        <v>1</v>
      </c>
      <c r="E102" t="s" s="27">
        <v>404</v>
      </c>
      <c r="F102" s="18">
        <v>20</v>
      </c>
      <c r="G102" s="18">
        <v>20</v>
      </c>
      <c r="H102" s="18">
        <v>83.8</v>
      </c>
      <c r="I102" s="18">
        <v>65.59999999999999</v>
      </c>
      <c r="J102" s="18">
        <v>47.8</v>
      </c>
      <c r="K102" s="36" cm="1">
        <f t="array" ref="K102">'Weights &amp; Method'!$B$10*I102+'Weights &amp; Method'!$B$11*J102</f>
        <v>58.48</v>
      </c>
      <c r="L102" s="36">
        <v>54.5</v>
      </c>
      <c r="M102" s="36" cm="1">
        <f t="array" ref="M102">'Weights &amp; Method'!$B$4*K102+'Weights &amp; Method'!$B$5*L102+'Weights &amp; Method'!$B$6*100*D102</f>
        <v>63.514</v>
      </c>
      <c r="N102" s="36">
        <v>28</v>
      </c>
      <c r="O102" t="str" s="37" cm="1">
        <f t="array" ref="O102">IF(N102&lt;='Weights &amp; Method'!$B$13,"Yes","No")</f>
        <v>Yes</v>
      </c>
      <c r="P102" s="18">
        <v>59</v>
      </c>
      <c r="Q102" t="s" s="27">
        <v>413</v>
      </c>
    </row>
    <row r="103" ht="14.6" customHeight="1">
      <c r="A103" t="s" s="27">
        <v>414</v>
      </c>
      <c r="B103" t="s" s="27">
        <v>415</v>
      </c>
      <c r="C103" t="s" s="27">
        <v>403</v>
      </c>
      <c r="D103" s="18">
        <v>0</v>
      </c>
      <c r="E103" t="s" s="27">
        <v>404</v>
      </c>
      <c r="F103" s="18">
        <v>43</v>
      </c>
      <c r="G103" s="18">
        <v>30</v>
      </c>
      <c r="H103" s="18">
        <v>88.3</v>
      </c>
      <c r="I103" s="18">
        <v>65.40000000000001</v>
      </c>
      <c r="J103" s="18">
        <v>84.2</v>
      </c>
      <c r="K103" s="36" cm="1">
        <f t="array" ref="K103">'Weights &amp; Method'!$B$10*I103+'Weights &amp; Method'!$B$11*J103</f>
        <v>72.92</v>
      </c>
      <c r="L103" s="36">
        <v>77.09999999999999</v>
      </c>
      <c r="M103" s="36" cm="1">
        <f t="array" ref="M103">'Weights &amp; Method'!$B$4*K103+'Weights &amp; Method'!$B$5*L103+'Weights &amp; Method'!$B$6*100*D103</f>
        <v>63.236</v>
      </c>
      <c r="N103" s="36">
        <v>29</v>
      </c>
      <c r="O103" t="str" s="37" cm="1">
        <f t="array" ref="O103">IF(N103&lt;='Weights &amp; Method'!$B$13,"Yes","No")</f>
        <v>Yes</v>
      </c>
      <c r="P103" s="18">
        <v>6</v>
      </c>
      <c r="Q103" t="s" s="27">
        <v>156</v>
      </c>
    </row>
    <row r="104" ht="14.6" customHeight="1">
      <c r="A104" t="s" s="27">
        <v>416</v>
      </c>
      <c r="B104" t="s" s="27">
        <v>417</v>
      </c>
      <c r="C104" t="s" s="27">
        <v>403</v>
      </c>
      <c r="D104" s="18">
        <v>0</v>
      </c>
      <c r="E104" t="s" s="27">
        <v>404</v>
      </c>
      <c r="F104" s="18">
        <v>44</v>
      </c>
      <c r="G104" s="18">
        <v>28</v>
      </c>
      <c r="H104" s="18">
        <v>68.09999999999999</v>
      </c>
      <c r="I104" s="18">
        <v>49.6</v>
      </c>
      <c r="J104" s="18">
        <v>82.3</v>
      </c>
      <c r="K104" s="36" cm="1">
        <f t="array" ref="K104">'Weights &amp; Method'!$B$10*I104+'Weights &amp; Method'!$B$11*J104</f>
        <v>62.68</v>
      </c>
      <c r="L104" s="36">
        <v>94.8</v>
      </c>
      <c r="M104" s="36" cm="1">
        <f t="array" ref="M104">'Weights &amp; Method'!$B$4*K104+'Weights &amp; Method'!$B$5*L104+'Weights &amp; Method'!$B$6*100*D104</f>
        <v>62.914</v>
      </c>
      <c r="N104" s="36">
        <v>30</v>
      </c>
      <c r="O104" t="str" s="37" cm="1">
        <f t="array" ref="O104">IF(N104&lt;='Weights &amp; Method'!$B$13,"Yes","No")</f>
        <v>Yes</v>
      </c>
      <c r="P104" s="18">
        <v>7</v>
      </c>
      <c r="Q104" t="s" s="27">
        <v>156</v>
      </c>
    </row>
    <row r="105" ht="14.6" customHeight="1">
      <c r="A105" t="s" s="27">
        <v>418</v>
      </c>
      <c r="B105" t="s" s="27">
        <v>419</v>
      </c>
      <c r="C105" t="s" s="27">
        <v>403</v>
      </c>
      <c r="D105" s="18">
        <v>0</v>
      </c>
      <c r="E105" t="s" s="27">
        <v>404</v>
      </c>
      <c r="F105" s="18">
        <v>42</v>
      </c>
      <c r="G105" s="18">
        <v>27</v>
      </c>
      <c r="H105" s="18">
        <v>83</v>
      </c>
      <c r="I105" s="18">
        <v>55.8</v>
      </c>
      <c r="J105" s="18">
        <v>79</v>
      </c>
      <c r="K105" s="36" cm="1">
        <f t="array" ref="K105">'Weights &amp; Method'!$B$10*I105+'Weights &amp; Method'!$B$11*J105</f>
        <v>65.08</v>
      </c>
      <c r="L105" s="36">
        <v>90.40000000000001</v>
      </c>
      <c r="M105" s="36" cm="1">
        <f t="array" ref="M105">'Weights &amp; Method'!$B$4*K105+'Weights &amp; Method'!$B$5*L105+'Weights &amp; Method'!$B$6*100*D105</f>
        <v>62.914</v>
      </c>
      <c r="N105" s="36">
        <v>31</v>
      </c>
      <c r="O105" t="str" s="37" cm="1">
        <f t="array" ref="O105">IF(N105&lt;='Weights &amp; Method'!$B$13,"Yes","No")</f>
        <v>Yes</v>
      </c>
      <c r="P105" s="18">
        <v>8</v>
      </c>
      <c r="Q105" t="s" s="27">
        <v>156</v>
      </c>
    </row>
    <row r="106" ht="14.6" customHeight="1">
      <c r="A106" t="s" s="27">
        <v>420</v>
      </c>
      <c r="B106" t="s" s="27">
        <v>421</v>
      </c>
      <c r="C106" t="s" s="27">
        <v>403</v>
      </c>
      <c r="D106" s="18">
        <v>0</v>
      </c>
      <c r="E106" t="s" s="27">
        <v>404</v>
      </c>
      <c r="F106" s="18">
        <v>45</v>
      </c>
      <c r="G106" s="18">
        <v>29</v>
      </c>
      <c r="H106" s="18">
        <v>76.59999999999999</v>
      </c>
      <c r="I106" s="18">
        <v>52.4</v>
      </c>
      <c r="J106" s="18">
        <v>84.7</v>
      </c>
      <c r="K106" s="36" cm="1">
        <f t="array" ref="K106">'Weights &amp; Method'!$B$10*I106+'Weights &amp; Method'!$B$11*J106</f>
        <v>65.31999999999999</v>
      </c>
      <c r="L106" s="36">
        <v>89.40000000000001</v>
      </c>
      <c r="M106" s="36" cm="1">
        <f t="array" ref="M106">'Weights &amp; Method'!$B$4*K106+'Weights &amp; Method'!$B$5*L106+'Weights &amp; Method'!$B$6*100*D106</f>
        <v>62.746</v>
      </c>
      <c r="N106" s="36">
        <v>32</v>
      </c>
      <c r="O106" t="str" s="37" cm="1">
        <f t="array" ref="O106">IF(N106&lt;='Weights &amp; Method'!$B$13,"Yes","No")</f>
        <v>Yes</v>
      </c>
      <c r="P106" s="18">
        <v>10</v>
      </c>
      <c r="Q106" t="s" s="27">
        <v>156</v>
      </c>
    </row>
    <row r="107" ht="14.6" customHeight="1">
      <c r="A107" t="s" s="27">
        <v>422</v>
      </c>
      <c r="B107" t="s" s="27">
        <v>423</v>
      </c>
      <c r="C107" t="s" s="27">
        <v>403</v>
      </c>
      <c r="D107" s="18">
        <v>1</v>
      </c>
      <c r="E107" t="s" s="27">
        <v>404</v>
      </c>
      <c r="F107" s="18">
        <v>32</v>
      </c>
      <c r="G107" s="18">
        <v>21</v>
      </c>
      <c r="H107" s="18">
        <v>73.40000000000001</v>
      </c>
      <c r="I107" s="18">
        <v>51.2</v>
      </c>
      <c r="J107" s="18">
        <v>60.8</v>
      </c>
      <c r="K107" s="36" cm="1">
        <f t="array" ref="K107">'Weights &amp; Method'!$B$10*I107+'Weights &amp; Method'!$B$11*J107</f>
        <v>55.04</v>
      </c>
      <c r="L107" s="36">
        <v>54.5</v>
      </c>
      <c r="M107" s="36" cm="1">
        <f t="array" ref="M107">'Weights &amp; Method'!$B$4*K107+'Weights &amp; Method'!$B$5*L107+'Weights &amp; Method'!$B$6*100*D107</f>
        <v>61.622</v>
      </c>
      <c r="N107" s="36">
        <v>34</v>
      </c>
      <c r="O107" t="str" s="37" cm="1">
        <f t="array" ref="O107">IF(N107&lt;='Weights &amp; Method'!$B$13,"Yes","No")</f>
        <v>Yes</v>
      </c>
      <c r="P107" s="18">
        <v>66</v>
      </c>
      <c r="Q107" t="s" s="27">
        <v>413</v>
      </c>
    </row>
    <row r="108" ht="14.6" customHeight="1">
      <c r="A108" t="s" s="27">
        <v>424</v>
      </c>
      <c r="B108" t="s" s="27">
        <v>425</v>
      </c>
      <c r="C108" t="s" s="27">
        <v>403</v>
      </c>
      <c r="D108" s="18">
        <v>1</v>
      </c>
      <c r="E108" t="s" s="27">
        <v>404</v>
      </c>
      <c r="F108" s="18">
        <v>36</v>
      </c>
      <c r="G108" s="18">
        <v>22</v>
      </c>
      <c r="H108" s="18">
        <v>59.5</v>
      </c>
      <c r="I108" s="18">
        <v>30.3</v>
      </c>
      <c r="J108" s="18">
        <v>66</v>
      </c>
      <c r="K108" s="36" cm="1">
        <f t="array" ref="K108">'Weights &amp; Method'!$B$10*I108+'Weights &amp; Method'!$B$11*J108</f>
        <v>44.58</v>
      </c>
      <c r="L108" s="36">
        <v>67.09999999999999</v>
      </c>
      <c r="M108" s="36" cm="1">
        <f t="array" ref="M108">'Weights &amp; Method'!$B$4*K108+'Weights &amp; Method'!$B$5*L108+'Weights &amp; Method'!$B$6*100*D108</f>
        <v>59.649</v>
      </c>
      <c r="N108" s="36">
        <v>40</v>
      </c>
      <c r="O108" t="str" s="37" cm="1">
        <f t="array" ref="O108">IF(N108&lt;='Weights &amp; Method'!$B$13,"Yes","No")</f>
        <v>Yes</v>
      </c>
      <c r="P108" s="18">
        <v>73</v>
      </c>
      <c r="Q108" t="s" s="27">
        <v>167</v>
      </c>
    </row>
    <row r="109" ht="14.6" customHeight="1">
      <c r="A109" t="s" s="27">
        <v>426</v>
      </c>
      <c r="B109" t="s" s="27">
        <v>427</v>
      </c>
      <c r="C109" t="s" s="27">
        <v>403</v>
      </c>
      <c r="D109" s="18">
        <v>0</v>
      </c>
      <c r="E109" t="s" s="27">
        <v>404</v>
      </c>
      <c r="F109" s="18">
        <v>29</v>
      </c>
      <c r="G109" s="18">
        <v>20</v>
      </c>
      <c r="H109" s="18">
        <v>83.8</v>
      </c>
      <c r="I109" s="18">
        <v>62.8</v>
      </c>
      <c r="J109" s="18">
        <v>56.5</v>
      </c>
      <c r="K109" s="36" cm="1">
        <f t="array" ref="K109">'Weights &amp; Method'!$B$10*I109+'Weights &amp; Method'!$B$11*J109</f>
        <v>60.28</v>
      </c>
      <c r="L109" s="36">
        <v>86.3</v>
      </c>
      <c r="M109" s="36" cm="1">
        <f t="array" ref="M109">'Weights &amp; Method'!$B$4*K109+'Weights &amp; Method'!$B$5*L109+'Weights &amp; Method'!$B$6*100*D109</f>
        <v>59.044</v>
      </c>
      <c r="N109" s="36">
        <v>42</v>
      </c>
      <c r="O109" t="str" s="37" cm="1">
        <f t="array" ref="O109">IF(N109&lt;='Weights &amp; Method'!$B$13,"Yes","No")</f>
        <v>No</v>
      </c>
      <c r="P109" s="18">
        <v>17</v>
      </c>
      <c r="Q109" s="18"/>
    </row>
    <row r="110" ht="14.6" customHeight="1">
      <c r="A110" t="s" s="27">
        <v>428</v>
      </c>
      <c r="B110" t="s" s="27">
        <v>429</v>
      </c>
      <c r="C110" t="s" s="27">
        <v>403</v>
      </c>
      <c r="D110" s="18">
        <v>0</v>
      </c>
      <c r="E110" t="s" s="27">
        <v>404</v>
      </c>
      <c r="F110" s="18">
        <v>36</v>
      </c>
      <c r="G110" s="18">
        <v>22</v>
      </c>
      <c r="H110" s="18">
        <v>91.09999999999999</v>
      </c>
      <c r="I110" s="18">
        <v>68.5</v>
      </c>
      <c r="J110" s="18">
        <v>66</v>
      </c>
      <c r="K110" s="36" cm="1">
        <f t="array" ref="K110">'Weights &amp; Method'!$B$10*I110+'Weights &amp; Method'!$B$11*J110</f>
        <v>67.5</v>
      </c>
      <c r="L110" s="36">
        <v>71.2</v>
      </c>
      <c r="M110" s="36" cm="1">
        <f t="array" ref="M110">'Weights &amp; Method'!$B$4*K110+'Weights &amp; Method'!$B$5*L110+'Weights &amp; Method'!$B$6*100*D110</f>
        <v>58.485</v>
      </c>
      <c r="N110" s="36">
        <v>43</v>
      </c>
      <c r="O110" t="str" s="37" cm="1">
        <f t="array" ref="O110">IF(N110&lt;='Weights &amp; Method'!$B$13,"Yes","No")</f>
        <v>No</v>
      </c>
      <c r="P110" s="18">
        <v>18</v>
      </c>
      <c r="Q110" s="18"/>
    </row>
    <row r="111" ht="14.6" customHeight="1">
      <c r="A111" t="s" s="27">
        <v>430</v>
      </c>
      <c r="B111" t="s" s="27">
        <v>431</v>
      </c>
      <c r="C111" t="s" s="27">
        <v>403</v>
      </c>
      <c r="D111" s="18">
        <v>0</v>
      </c>
      <c r="E111" t="s" s="27">
        <v>404</v>
      </c>
      <c r="F111" s="18">
        <v>39</v>
      </c>
      <c r="G111" s="18">
        <v>23</v>
      </c>
      <c r="H111" s="18">
        <v>71.8</v>
      </c>
      <c r="I111" s="18">
        <v>54</v>
      </c>
      <c r="J111" s="18">
        <v>70.40000000000001</v>
      </c>
      <c r="K111" s="36" cm="1">
        <f t="array" ref="K111">'Weights &amp; Method'!$B$10*I111+'Weights &amp; Method'!$B$11*J111</f>
        <v>60.56</v>
      </c>
      <c r="L111" s="36">
        <v>66.7</v>
      </c>
      <c r="M111" s="36" cm="1">
        <f t="array" ref="M111">'Weights &amp; Method'!$B$4*K111+'Weights &amp; Method'!$B$5*L111+'Weights &amp; Method'!$B$6*100*D111</f>
        <v>53.318</v>
      </c>
      <c r="N111" s="36">
        <v>55</v>
      </c>
      <c r="O111" t="str" s="37" cm="1">
        <f t="array" ref="O111">IF(N111&lt;='Weights &amp; Method'!$B$13,"Yes","No")</f>
        <v>No</v>
      </c>
      <c r="P111" s="18">
        <v>35</v>
      </c>
      <c r="Q111" s="18"/>
    </row>
    <row r="112" ht="14.6" customHeight="1">
      <c r="A112" t="s" s="27">
        <v>432</v>
      </c>
      <c r="B112" t="s" s="27">
        <v>433</v>
      </c>
      <c r="C112" t="s" s="27">
        <v>403</v>
      </c>
      <c r="D112" s="18">
        <v>0</v>
      </c>
      <c r="E112" t="s" s="27">
        <v>404</v>
      </c>
      <c r="F112" s="18">
        <v>39</v>
      </c>
      <c r="G112" s="18">
        <v>26</v>
      </c>
      <c r="H112" s="18">
        <v>61.7</v>
      </c>
      <c r="I112" s="18">
        <v>39.6</v>
      </c>
      <c r="J112" s="18">
        <v>74.59999999999999</v>
      </c>
      <c r="K112" s="36" cm="1">
        <f t="array" ref="K112">'Weights &amp; Method'!$B$10*I112+'Weights &amp; Method'!$B$11*J112</f>
        <v>53.6</v>
      </c>
      <c r="L112" s="36">
        <v>76.7</v>
      </c>
      <c r="M112" s="36" cm="1">
        <f t="array" ref="M112">'Weights &amp; Method'!$B$4*K112+'Weights &amp; Method'!$B$5*L112+'Weights &amp; Method'!$B$6*100*D112</f>
        <v>52.49</v>
      </c>
      <c r="N112" s="36">
        <v>57</v>
      </c>
      <c r="O112" t="str" s="37" cm="1">
        <f t="array" ref="O112">IF(N112&lt;='Weights &amp; Method'!$B$13,"Yes","No")</f>
        <v>No</v>
      </c>
      <c r="P112" s="18">
        <v>41</v>
      </c>
      <c r="Q112" t="s" s="27">
        <v>167</v>
      </c>
    </row>
    <row r="113" ht="14.6" customHeight="1">
      <c r="A113" t="s" s="27">
        <v>434</v>
      </c>
      <c r="B113" t="s" s="27">
        <v>435</v>
      </c>
      <c r="C113" t="s" s="27">
        <v>403</v>
      </c>
      <c r="D113" s="18">
        <v>0</v>
      </c>
      <c r="E113" t="s" s="27">
        <v>404</v>
      </c>
      <c r="F113" s="18">
        <v>37</v>
      </c>
      <c r="G113" s="18">
        <v>29</v>
      </c>
      <c r="H113" s="18">
        <v>88.2</v>
      </c>
      <c r="I113" s="18">
        <v>67</v>
      </c>
      <c r="J113" s="18">
        <v>77</v>
      </c>
      <c r="K113" s="36" cm="1">
        <f t="array" ref="K113">'Weights &amp; Method'!$B$10*I113+'Weights &amp; Method'!$B$11*J113</f>
        <v>71</v>
      </c>
      <c r="L113" s="36">
        <v>41.1</v>
      </c>
      <c r="M113" s="36" cm="1">
        <f t="array" ref="M113">'Weights &amp; Method'!$B$4*K113+'Weights &amp; Method'!$B$5*L113+'Weights &amp; Method'!$B$6*100*D113</f>
        <v>51.38</v>
      </c>
      <c r="N113" s="36">
        <v>60</v>
      </c>
      <c r="O113" t="str" s="37" cm="1">
        <f t="array" ref="O113">IF(N113&lt;='Weights &amp; Method'!$B$13,"Yes","No")</f>
        <v>No</v>
      </c>
      <c r="P113" s="18">
        <v>47</v>
      </c>
      <c r="Q113" t="s" s="27">
        <v>436</v>
      </c>
    </row>
    <row r="114" ht="14.6" customHeight="1">
      <c r="A114" t="s" s="27">
        <v>437</v>
      </c>
      <c r="B114" t="s" s="27">
        <v>438</v>
      </c>
      <c r="C114" t="s" s="27">
        <v>403</v>
      </c>
      <c r="D114" s="18">
        <v>0</v>
      </c>
      <c r="E114" t="s" s="27">
        <v>404</v>
      </c>
      <c r="F114" s="18">
        <v>28</v>
      </c>
      <c r="G114" s="18">
        <v>15</v>
      </c>
      <c r="H114" s="18">
        <v>59.6</v>
      </c>
      <c r="I114" s="18">
        <v>38.7</v>
      </c>
      <c r="J114" s="18">
        <v>48.4</v>
      </c>
      <c r="K114" s="36" cm="1">
        <f t="array" ref="K114">'Weights &amp; Method'!$B$10*I114+'Weights &amp; Method'!$B$11*J114</f>
        <v>42.58</v>
      </c>
      <c r="L114" s="36">
        <v>93.2</v>
      </c>
      <c r="M114" s="36" cm="1">
        <f t="array" ref="M114">'Weights &amp; Method'!$B$4*K114+'Weights &amp; Method'!$B$5*L114+'Weights &amp; Method'!$B$6*100*D114</f>
        <v>51.379</v>
      </c>
      <c r="N114" s="36">
        <v>61</v>
      </c>
      <c r="O114" t="str" s="37" cm="1">
        <f t="array" ref="O114">IF(N114&lt;='Weights &amp; Method'!$B$13,"Yes","No")</f>
        <v>No</v>
      </c>
      <c r="P114" s="18">
        <v>49</v>
      </c>
      <c r="Q114" t="s" s="27">
        <v>167</v>
      </c>
    </row>
    <row r="115" ht="14.6" customHeight="1">
      <c r="A115" t="s" s="27">
        <v>439</v>
      </c>
      <c r="B115" t="s" s="27">
        <v>440</v>
      </c>
      <c r="C115" t="s" s="27">
        <v>403</v>
      </c>
      <c r="D115" s="18">
        <v>0</v>
      </c>
      <c r="E115" t="s" s="27">
        <v>404</v>
      </c>
      <c r="F115" s="18">
        <v>32</v>
      </c>
      <c r="G115" s="18">
        <v>22</v>
      </c>
      <c r="H115" s="18">
        <v>90.5</v>
      </c>
      <c r="I115" s="18">
        <v>65.8</v>
      </c>
      <c r="J115" s="18">
        <v>62.2</v>
      </c>
      <c r="K115" s="36" cm="1">
        <f t="array" ref="K115">'Weights &amp; Method'!$B$10*I115+'Weights &amp; Method'!$B$11*J115</f>
        <v>64.36</v>
      </c>
      <c r="L115" s="36">
        <v>52.1</v>
      </c>
      <c r="M115" s="36" cm="1">
        <f t="array" ref="M115">'Weights &amp; Method'!$B$4*K115+'Weights &amp; Method'!$B$5*L115+'Weights &amp; Method'!$B$6*100*D115</f>
        <v>51.028</v>
      </c>
      <c r="N115" s="36">
        <v>63</v>
      </c>
      <c r="O115" t="str" s="37" cm="1">
        <f t="array" ref="O115">IF(N115&lt;='Weights &amp; Method'!$B$13,"Yes","No")</f>
        <v>No</v>
      </c>
      <c r="P115" s="18">
        <v>51</v>
      </c>
      <c r="Q115" t="s" s="27">
        <v>441</v>
      </c>
    </row>
    <row r="116" ht="14.6" customHeight="1">
      <c r="A116" t="s" s="27">
        <v>442</v>
      </c>
      <c r="B116" t="s" s="27">
        <v>443</v>
      </c>
      <c r="C116" t="s" s="27">
        <v>403</v>
      </c>
      <c r="D116" s="18">
        <v>0</v>
      </c>
      <c r="E116" t="s" s="27">
        <v>404</v>
      </c>
      <c r="F116" s="18">
        <v>34</v>
      </c>
      <c r="G116" s="18">
        <v>23</v>
      </c>
      <c r="H116" s="18">
        <v>89.40000000000001</v>
      </c>
      <c r="I116" s="18">
        <v>70.40000000000001</v>
      </c>
      <c r="J116" s="18">
        <v>65.5</v>
      </c>
      <c r="K116" s="36" cm="1">
        <f t="array" ref="K116">'Weights &amp; Method'!$B$10*I116+'Weights &amp; Method'!$B$11*J116</f>
        <v>68.44</v>
      </c>
      <c r="L116" s="36">
        <v>37</v>
      </c>
      <c r="M116" s="36" cm="1">
        <f t="array" ref="M116">'Weights &amp; Method'!$B$4*K116+'Weights &amp; Method'!$B$5*L116+'Weights &amp; Method'!$B$6*100*D116</f>
        <v>48.742</v>
      </c>
      <c r="N116" s="36">
        <v>67</v>
      </c>
      <c r="O116" t="str" s="37" cm="1">
        <f t="array" ref="O116">IF(N116&lt;='Weights &amp; Method'!$B$13,"Yes","No")</f>
        <v>No</v>
      </c>
      <c r="P116" s="18">
        <v>56</v>
      </c>
      <c r="Q116" t="s" s="27">
        <v>444</v>
      </c>
    </row>
    <row r="117" ht="14.6" customHeight="1">
      <c r="A117" t="s" s="27">
        <v>445</v>
      </c>
      <c r="B117" t="s" s="27">
        <v>446</v>
      </c>
      <c r="C117" t="s" s="27">
        <v>403</v>
      </c>
      <c r="D117" s="18">
        <v>0</v>
      </c>
      <c r="E117" t="s" s="27">
        <v>404</v>
      </c>
      <c r="F117" s="18">
        <v>27</v>
      </c>
      <c r="G117" s="18">
        <v>18</v>
      </c>
      <c r="H117" s="18">
        <v>75.8</v>
      </c>
      <c r="I117" s="18">
        <v>50.4</v>
      </c>
      <c r="J117" s="18">
        <v>51.7</v>
      </c>
      <c r="K117" s="36" cm="1">
        <f t="array" ref="K117">'Weights &amp; Method'!$B$10*I117+'Weights &amp; Method'!$B$11*J117</f>
        <v>50.92</v>
      </c>
      <c r="L117" s="36">
        <v>68.5</v>
      </c>
      <c r="M117" s="36" cm="1">
        <f t="array" ref="M117">'Weights &amp; Method'!$B$4*K117+'Weights &amp; Method'!$B$5*L117+'Weights &amp; Method'!$B$6*100*D117</f>
        <v>48.556</v>
      </c>
      <c r="N117" s="36">
        <v>69</v>
      </c>
      <c r="O117" t="str" s="37" cm="1">
        <f t="array" ref="O117">IF(N117&lt;='Weights &amp; Method'!$B$13,"Yes","No")</f>
        <v>No</v>
      </c>
      <c r="P117" s="18">
        <v>60</v>
      </c>
      <c r="Q117" s="18"/>
    </row>
    <row r="118" ht="14.6" customHeight="1">
      <c r="A118" t="s" s="27">
        <v>447</v>
      </c>
      <c r="B118" t="s" s="27">
        <v>448</v>
      </c>
      <c r="C118" t="s" s="27">
        <v>403</v>
      </c>
      <c r="D118" s="18">
        <v>0</v>
      </c>
      <c r="E118" t="s" s="27">
        <v>404</v>
      </c>
      <c r="F118" s="18">
        <v>14</v>
      </c>
      <c r="G118" s="18">
        <v>3</v>
      </c>
      <c r="H118" s="18">
        <v>61.5</v>
      </c>
      <c r="I118" s="18">
        <v>42.5</v>
      </c>
      <c r="J118" s="18">
        <v>17.7</v>
      </c>
      <c r="K118" s="36" cm="1">
        <f t="array" ref="K118">'Weights &amp; Method'!$B$10*I118+'Weights &amp; Method'!$B$11*J118</f>
        <v>32.58</v>
      </c>
      <c r="L118" s="36">
        <v>84.90000000000001</v>
      </c>
      <c r="M118" s="36" cm="1">
        <f t="array" ref="M118">'Weights &amp; Method'!$B$4*K118+'Weights &amp; Method'!$B$5*L118+'Weights &amp; Method'!$B$6*100*D118</f>
        <v>43.389</v>
      </c>
      <c r="N118" s="36">
        <v>80</v>
      </c>
      <c r="O118" t="str" s="37" cm="1">
        <f t="array" ref="O118">IF(N118&lt;='Weights &amp; Method'!$B$13,"Yes","No")</f>
        <v>No</v>
      </c>
      <c r="P118" s="18">
        <v>76</v>
      </c>
      <c r="Q118" t="s" s="27">
        <v>449</v>
      </c>
    </row>
    <row r="119" ht="14.6" customHeight="1">
      <c r="A119" t="s" s="27">
        <v>450</v>
      </c>
      <c r="B119" t="s" s="27">
        <v>451</v>
      </c>
      <c r="C119" t="s" s="27">
        <v>403</v>
      </c>
      <c r="D119" s="18">
        <v>0</v>
      </c>
      <c r="E119" t="s" s="27">
        <v>404</v>
      </c>
      <c r="F119" s="18">
        <v>24</v>
      </c>
      <c r="G119" s="18">
        <v>15</v>
      </c>
      <c r="H119" s="18">
        <v>18.9</v>
      </c>
      <c r="I119" s="18">
        <v>14.5</v>
      </c>
      <c r="J119" s="18">
        <v>44.5</v>
      </c>
      <c r="K119" s="36" cm="1">
        <f t="array" ref="K119">'Weights &amp; Method'!$B$10*I119+'Weights &amp; Method'!$B$11*J119</f>
        <v>26.5</v>
      </c>
      <c r="L119" s="36">
        <v>86.3</v>
      </c>
      <c r="M119" s="36" cm="1">
        <f t="array" ref="M119">'Weights &amp; Method'!$B$4*K119+'Weights &amp; Method'!$B$5*L119+'Weights &amp; Method'!$B$6*100*D119</f>
        <v>40.465</v>
      </c>
      <c r="N119" s="36">
        <v>90</v>
      </c>
      <c r="O119" t="str" s="37" cm="1">
        <f t="array" ref="O119">IF(N119&lt;='Weights &amp; Method'!$B$13,"Yes","No")</f>
        <v>No</v>
      </c>
      <c r="P119" s="18">
        <v>88</v>
      </c>
      <c r="Q119" t="s" s="27">
        <v>167</v>
      </c>
    </row>
    <row r="120" ht="14.6" customHeight="1">
      <c r="A120" t="s" s="27">
        <v>452</v>
      </c>
      <c r="B120" t="s" s="27">
        <v>453</v>
      </c>
      <c r="C120" t="s" s="27">
        <v>403</v>
      </c>
      <c r="D120" s="18">
        <v>0</v>
      </c>
      <c r="E120" t="s" s="27">
        <v>404</v>
      </c>
      <c r="F120" s="18">
        <v>0</v>
      </c>
      <c r="G120" s="18">
        <v>0</v>
      </c>
      <c r="H120" s="18"/>
      <c r="I120" s="18">
        <v>0</v>
      </c>
      <c r="J120" s="18">
        <v>0</v>
      </c>
      <c r="K120" s="36" cm="1">
        <f t="array" ref="K120">'Weights &amp; Method'!$B$10*I120+'Weights &amp; Method'!$B$11*J120</f>
        <v>0</v>
      </c>
      <c r="L120" s="36">
        <v>34.2</v>
      </c>
      <c r="M120" s="36" cm="1">
        <f t="array" ref="M120">'Weights &amp; Method'!$B$4*K120+'Weights &amp; Method'!$B$5*L120+'Weights &amp; Method'!$B$6*100*D120</f>
        <v>10.26</v>
      </c>
      <c r="N120" s="36">
        <v>120</v>
      </c>
      <c r="O120" t="str" s="37" cm="1">
        <f t="array" ref="O120">IF(N120&lt;='Weights &amp; Method'!$B$13,"Yes","No")</f>
        <v>No</v>
      </c>
      <c r="P120" s="18">
        <v>120</v>
      </c>
      <c r="Q120" t="s" s="27">
        <v>454</v>
      </c>
    </row>
    <row r="121" ht="14.6" customHeight="1">
      <c r="A121" t="s" s="27">
        <v>455</v>
      </c>
      <c r="B121" t="s" s="27">
        <v>456</v>
      </c>
      <c r="C121" t="s" s="27">
        <v>457</v>
      </c>
      <c r="D121" s="18">
        <v>0</v>
      </c>
      <c r="E121" t="s" s="27">
        <v>458</v>
      </c>
      <c r="F121" s="18">
        <v>28</v>
      </c>
      <c r="G121" s="18">
        <v>15</v>
      </c>
      <c r="H121" s="18">
        <v>51.5</v>
      </c>
      <c r="I121" s="18">
        <v>35.4</v>
      </c>
      <c r="J121" s="18">
        <v>48.4</v>
      </c>
      <c r="K121" s="36" cm="1">
        <f t="array" ref="K121">'Weights &amp; Method'!$B$10*I121+'Weights &amp; Method'!$B$11*J121</f>
        <v>40.6</v>
      </c>
      <c r="L121" s="36">
        <v>60.3</v>
      </c>
      <c r="M121" s="36" cm="1">
        <f t="array" ref="M121">'Weights &amp; Method'!$B$4*K121+'Weights &amp; Method'!$B$5*L121+'Weights &amp; Method'!$B$6*100*D121</f>
        <v>40.42</v>
      </c>
      <c r="N121" s="36">
        <v>91</v>
      </c>
      <c r="O121" t="str" s="37" cm="1">
        <f t="array" ref="O121">IF(N121&lt;='Weights &amp; Method'!$B$13,"Yes","No")</f>
        <v>No</v>
      </c>
      <c r="P121" s="18">
        <v>87</v>
      </c>
      <c r="Q121" t="s" s="27">
        <v>459</v>
      </c>
    </row>
    <row r="122" ht="14.6" customHeight="1">
      <c r="A122" t="s" s="27">
        <v>460</v>
      </c>
      <c r="B122" t="s" s="27">
        <v>461</v>
      </c>
      <c r="C122" t="s" s="27">
        <v>457</v>
      </c>
      <c r="D122" s="18">
        <v>0</v>
      </c>
      <c r="E122" t="s" s="27">
        <v>458</v>
      </c>
      <c r="F122" s="18">
        <v>25</v>
      </c>
      <c r="G122" s="18">
        <v>15</v>
      </c>
      <c r="H122" s="18">
        <v>41</v>
      </c>
      <c r="I122" s="18">
        <v>32.5</v>
      </c>
      <c r="J122" s="18">
        <v>45.5</v>
      </c>
      <c r="K122" s="36" cm="1">
        <f t="array" ref="K122">'Weights &amp; Method'!$B$10*I122+'Weights &amp; Method'!$B$11*J122</f>
        <v>37.7</v>
      </c>
      <c r="L122" s="36">
        <v>58.9</v>
      </c>
      <c r="M122" s="36" cm="1">
        <f t="array" ref="M122">'Weights &amp; Method'!$B$4*K122+'Weights &amp; Method'!$B$5*L122+'Weights &amp; Method'!$B$6*100*D122</f>
        <v>38.405</v>
      </c>
      <c r="N122" s="36">
        <v>95</v>
      </c>
      <c r="O122" t="str" s="37" cm="1">
        <f t="array" ref="O122">IF(N122&lt;='Weights &amp; Method'!$B$13,"Yes","No")</f>
        <v>No</v>
      </c>
      <c r="P122" s="18">
        <v>93</v>
      </c>
      <c r="Q122" t="s" s="27">
        <v>462</v>
      </c>
    </row>
    <row r="123" ht="14.6" customHeight="1">
      <c r="A123" t="s" s="27">
        <v>463</v>
      </c>
      <c r="B123" t="s" s="27">
        <v>464</v>
      </c>
      <c r="C123" t="s" s="27">
        <v>457</v>
      </c>
      <c r="D123" s="18">
        <v>0</v>
      </c>
      <c r="E123" t="s" s="27">
        <v>458</v>
      </c>
      <c r="F123" s="18">
        <v>17</v>
      </c>
      <c r="G123" s="18">
        <v>8</v>
      </c>
      <c r="H123" s="18">
        <v>48.1</v>
      </c>
      <c r="I123" s="18">
        <v>28</v>
      </c>
      <c r="J123" s="18">
        <v>27.8</v>
      </c>
      <c r="K123" s="36" cm="1">
        <f t="array" ref="K123">'Weights &amp; Method'!$B$10*I123+'Weights &amp; Method'!$B$11*J123</f>
        <v>27.92</v>
      </c>
      <c r="L123" s="36">
        <v>60.3</v>
      </c>
      <c r="M123" s="36" cm="1">
        <f t="array" ref="M123">'Weights &amp; Method'!$B$4*K123+'Weights &amp; Method'!$B$5*L123+'Weights &amp; Method'!$B$6*100*D123</f>
        <v>33.446</v>
      </c>
      <c r="N123" s="36">
        <v>103</v>
      </c>
      <c r="O123" t="str" s="37" cm="1">
        <f t="array" ref="O123">IF(N123&lt;='Weights &amp; Method'!$B$13,"Yes","No")</f>
        <v>No</v>
      </c>
      <c r="P123" s="18">
        <v>102</v>
      </c>
      <c r="Q123" t="s" s="27">
        <v>465</v>
      </c>
    </row>
    <row r="124" ht="14.6" customHeight="1">
      <c r="A124" t="s" s="27">
        <v>466</v>
      </c>
      <c r="B124" t="s" s="27">
        <v>467</v>
      </c>
      <c r="C124" t="s" s="27">
        <v>457</v>
      </c>
      <c r="D124" s="18">
        <v>0</v>
      </c>
      <c r="E124" t="s" s="27">
        <v>458</v>
      </c>
      <c r="F124" s="18">
        <v>11</v>
      </c>
      <c r="G124" s="18">
        <v>3</v>
      </c>
      <c r="H124" s="18">
        <v>33.5</v>
      </c>
      <c r="I124" s="18">
        <v>29.7</v>
      </c>
      <c r="J124" s="18">
        <v>14.9</v>
      </c>
      <c r="K124" s="36" cm="1">
        <f t="array" ref="K124">'Weights &amp; Method'!$B$10*I124+'Weights &amp; Method'!$B$11*J124</f>
        <v>23.78</v>
      </c>
      <c r="L124" s="36">
        <v>60.3</v>
      </c>
      <c r="M124" s="36" cm="1">
        <f t="array" ref="M124">'Weights &amp; Method'!$B$4*K124+'Weights &amp; Method'!$B$5*L124+'Weights &amp; Method'!$B$6*100*D124</f>
        <v>31.169</v>
      </c>
      <c r="N124" s="36">
        <v>107</v>
      </c>
      <c r="O124" t="str" s="37" cm="1">
        <f t="array" ref="O124">IF(N124&lt;='Weights &amp; Method'!$B$13,"Yes","No")</f>
        <v>No</v>
      </c>
      <c r="P124" s="18">
        <v>107</v>
      </c>
      <c r="Q124" t="s" s="27">
        <v>468</v>
      </c>
    </row>
  </sheetData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