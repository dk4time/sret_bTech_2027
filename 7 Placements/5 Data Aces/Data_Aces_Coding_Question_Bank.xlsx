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uestion Bank" sheetId="2" state="visible" r:id="rId4"/>
    <sheet name="Write-the-Logic Variants" sheetId="3" state="visible" r:id="rId5"/>
    <sheet name="Numbers &amp; Patterns (Opt)" sheetId="4" state="visible" r:id="rId6"/>
  </sheets>
  <definedNames>
    <definedName function="false" hidden="true" localSheetId="1" name="_xlnm._FilterDatabase" vbProcedure="false">'Question Bank'!$A$1:$H$46</definedName>
    <definedName function="false" hidden="true" localSheetId="2" name="_xlnm._FilterDatabase" vbProcedure="false">'Write-the-Logic Variants'!$A$1:$F$17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<sst xmlns="http://schemas.openxmlformats.org/spreadsheetml/2006/main" count="500" uniqueCount="228">
  <si>
    <t xml:space="preserve">Data Aces — Coding Round Question Bank</t>
  </si>
  <si>
    <t xml:space="preserve">Prepared for T.I.M.E. placement training. Topics: Array, String, Searching, Sorting, Hashing, Two Pointer, Prefix Sum, Sliding Window.</t>
  </si>
  <si>
    <t xml:space="preserve">Note: no public source lists actual Data Aces coding questions; set is calibrated to the candidate-reported pattern (language-specific coding + write-the-logic exam).</t>
  </si>
  <si>
    <t xml:space="preserve">Topic</t>
  </si>
  <si>
    <t xml:space="preserve">Easy</t>
  </si>
  <si>
    <t xml:space="preserve">Medium</t>
  </si>
  <si>
    <t xml:space="preserve">Total (Bank)</t>
  </si>
  <si>
    <t xml:space="preserve">Variants</t>
  </si>
  <si>
    <t xml:space="preserve">Solved</t>
  </si>
  <si>
    <t xml:space="preserve">% Solved</t>
  </si>
  <si>
    <t xml:space="preserve">Array</t>
  </si>
  <si>
    <t xml:space="preserve">String</t>
  </si>
  <si>
    <t xml:space="preserve">Searching</t>
  </si>
  <si>
    <t xml:space="preserve">Sorting</t>
  </si>
  <si>
    <t xml:space="preserve">Hashing</t>
  </si>
  <si>
    <t xml:space="preserve">Two Pointer</t>
  </si>
  <si>
    <t xml:space="preserve">Prefix Sum</t>
  </si>
  <si>
    <t xml:space="preserve">Sliding Window</t>
  </si>
  <si>
    <t xml:space="preserve">Total</t>
  </si>
  <si>
    <t xml:space="preserve">How to use: set the Status column (dropdown) on the Question Bank and Variants sheets; Solved counts update here. The Numbers &amp; Patterns sheet is optional warm-up for Round 1.</t>
  </si>
  <si>
    <t xml:space="preserve">#</t>
  </si>
  <si>
    <t xml:space="preserve">Problem</t>
  </si>
  <si>
    <t xml:space="preserve">Source</t>
  </si>
  <si>
    <t xml:space="preserve">Difficulty</t>
  </si>
  <si>
    <t xml:space="preserve">Key Idea / Approach</t>
  </si>
  <si>
    <t xml:space="preserve">Link</t>
  </si>
  <si>
    <t xml:space="preserve">Status</t>
  </si>
  <si>
    <t xml:space="preserve">Second Largest Element</t>
  </si>
  <si>
    <t xml:space="preserve">GfG</t>
  </si>
  <si>
    <t xml:space="preserve">Single pass tracking largest and second largest; handle duplicates</t>
  </si>
  <si>
    <t xml:space="preserve">Search GfG</t>
  </si>
  <si>
    <t xml:space="preserve">Not Started</t>
  </si>
  <si>
    <t xml:space="preserve">Missing Number</t>
  </si>
  <si>
    <t xml:space="preserve">LC 268</t>
  </si>
  <si>
    <t xml:space="preserve">Expected sum n(n+1)/2 minus actual sum, or XOR</t>
  </si>
  <si>
    <t xml:space="preserve">Open</t>
  </si>
  <si>
    <t xml:space="preserve">Move Zeroes</t>
  </si>
  <si>
    <t xml:space="preserve">LC 283</t>
  </si>
  <si>
    <t xml:space="preserve">Write pointer for non-zeros, fill rest with 0</t>
  </si>
  <si>
    <t xml:space="preserve">Rotate Array by k</t>
  </si>
  <si>
    <t xml:space="preserve">LC 189</t>
  </si>
  <si>
    <t xml:space="preserve">k %= n; reverse whole, reverse first k, reverse rest</t>
  </si>
  <si>
    <t xml:space="preserve">Leaders in an Array</t>
  </si>
  <si>
    <t xml:space="preserve">Scan right to left keeping running max</t>
  </si>
  <si>
    <t xml:space="preserve">Maximum Subarray (Kadane)</t>
  </si>
  <si>
    <t xml:space="preserve">LC 53</t>
  </si>
  <si>
    <t xml:space="preserve">cur = max(x, cur+x); best = max(best, cur)</t>
  </si>
  <si>
    <t xml:space="preserve">Valid Palindrome</t>
  </si>
  <si>
    <t xml:space="preserve">LC 125</t>
  </si>
  <si>
    <t xml:space="preserve">Two pointers skipping non-alphanumerics, compare lowercase</t>
  </si>
  <si>
    <t xml:space="preserve">Reverse Words in a String</t>
  </si>
  <si>
    <t xml:space="preserve">LC 151</t>
  </si>
  <si>
    <t xml:space="preserve">Split on spaces, drop empties, join reversed</t>
  </si>
  <si>
    <t xml:space="preserve">First Unique Character</t>
  </si>
  <si>
    <t xml:space="preserve">LC 387</t>
  </si>
  <si>
    <t xml:space="preserve">Frequency count, then first index with count 1</t>
  </si>
  <si>
    <t xml:space="preserve">Longest Common Prefix</t>
  </si>
  <si>
    <t xml:space="preserve">LC 14</t>
  </si>
  <si>
    <t xml:space="preserve">Compare characters column-wise across all strings</t>
  </si>
  <si>
    <t xml:space="preserve">Count Vowels, Consonants, Digits, Spaces</t>
  </si>
  <si>
    <t xml:space="preserve">Basic</t>
  </si>
  <si>
    <t xml:space="preserve">Single pass with character classification</t>
  </si>
  <si>
    <t xml:space="preserve">—</t>
  </si>
  <si>
    <t xml:space="preserve">String Compression</t>
  </si>
  <si>
    <t xml:space="preserve">LC 443</t>
  </si>
  <si>
    <t xml:space="preserve">Read/write pointers; write char then count if &gt; 1</t>
  </si>
  <si>
    <t xml:space="preserve">Binary Search</t>
  </si>
  <si>
    <t xml:space="preserve">LC 704</t>
  </si>
  <si>
    <t xml:space="preserve">lo/hi loop, mid = lo + (hi-lo)/2</t>
  </si>
  <si>
    <t xml:space="preserve">Search Insert Position</t>
  </si>
  <si>
    <t xml:space="preserve">LC 35</t>
  </si>
  <si>
    <t xml:space="preserve">Lower-bound binary search; return lo</t>
  </si>
  <si>
    <t xml:space="preserve">First and Last Position of Element</t>
  </si>
  <si>
    <t xml:space="preserve">LC 34</t>
  </si>
  <si>
    <t xml:space="preserve">Two binary searches: leftmost and rightmost</t>
  </si>
  <si>
    <t xml:space="preserve">Sqrt(x)</t>
  </si>
  <si>
    <t xml:space="preserve">LC 69</t>
  </si>
  <si>
    <t xml:space="preserve">Binary search on answer: largest m with m*m &lt;= x</t>
  </si>
  <si>
    <t xml:space="preserve">Find Peak Element</t>
  </si>
  <si>
    <t xml:space="preserve">LC 162</t>
  </si>
  <si>
    <t xml:space="preserve">If a[mid] &lt; a[mid+1] go right, else go left</t>
  </si>
  <si>
    <t xml:space="preserve">Bubble, Selection and Insertion Sort (by hand)</t>
  </si>
  <si>
    <t xml:space="preserve">Write each with a dry run; know passes, swaps, stability</t>
  </si>
  <si>
    <t xml:space="preserve">Merge Sorted Array</t>
  </si>
  <si>
    <t xml:space="preserve">LC 88</t>
  </si>
  <si>
    <t xml:space="preserve">Fill from the back with three pointers</t>
  </si>
  <si>
    <t xml:space="preserve">Sort Colors (0s, 1s, 2s)</t>
  </si>
  <si>
    <t xml:space="preserve">LC 75</t>
  </si>
  <si>
    <t xml:space="preserve">Dutch National Flag: low, mid, high pointers</t>
  </si>
  <si>
    <t xml:space="preserve">Sort Characters by Frequency</t>
  </si>
  <si>
    <t xml:space="preserve">LC 451</t>
  </si>
  <si>
    <t xml:space="preserve">Count frequencies, sort by count descending</t>
  </si>
  <si>
    <t xml:space="preserve">Merge Intervals</t>
  </si>
  <si>
    <t xml:space="preserve">LC 56</t>
  </si>
  <si>
    <t xml:space="preserve">Sort by start, merge when overlapping with last</t>
  </si>
  <si>
    <t xml:space="preserve">Two Sum</t>
  </si>
  <si>
    <t xml:space="preserve">LC 1</t>
  </si>
  <si>
    <t xml:space="preserve">Map value to index; look up target - x</t>
  </si>
  <si>
    <t xml:space="preserve">Contains Duplicate</t>
  </si>
  <si>
    <t xml:space="preserve">LC 217</t>
  </si>
  <si>
    <t xml:space="preserve">Add to a set; duplicate if already present</t>
  </si>
  <si>
    <t xml:space="preserve">Majority Element</t>
  </si>
  <si>
    <t xml:space="preserve">LC 169</t>
  </si>
  <si>
    <t xml:space="preserve">Frequency map, or Boyer-Moore voting</t>
  </si>
  <si>
    <t xml:space="preserve">Intersection of Two Arrays</t>
  </si>
  <si>
    <t xml:space="preserve">LC 349</t>
  </si>
  <si>
    <t xml:space="preserve">Set of first array, collect matches from second</t>
  </si>
  <si>
    <t xml:space="preserve">Group Anagrams</t>
  </si>
  <si>
    <t xml:space="preserve">LC 49</t>
  </si>
  <si>
    <t xml:space="preserve">Key = sorted word (or 26-count); map key to list</t>
  </si>
  <si>
    <t xml:space="preserve">Longest Consecutive Sequence</t>
  </si>
  <si>
    <t xml:space="preserve">LC 128</t>
  </si>
  <si>
    <t xml:space="preserve">Set; start counting only where x-1 is absent</t>
  </si>
  <si>
    <t xml:space="preserve">Reverse String</t>
  </si>
  <si>
    <t xml:space="preserve">LC 344</t>
  </si>
  <si>
    <t xml:space="preserve">Swap from both ends moving inward</t>
  </si>
  <si>
    <t xml:space="preserve">Remove Duplicates from Sorted Array</t>
  </si>
  <si>
    <t xml:space="preserve">LC 26</t>
  </si>
  <si>
    <t xml:space="preserve">Slow pointer marks last unique, fast scans</t>
  </si>
  <si>
    <t xml:space="preserve">Squares of a Sorted Array</t>
  </si>
  <si>
    <t xml:space="preserve">LC 977</t>
  </si>
  <si>
    <t xml:space="preserve">Compare abs at both ends, fill result from back</t>
  </si>
  <si>
    <t xml:space="preserve">Two Sum II (Sorted Input)</t>
  </si>
  <si>
    <t xml:space="preserve">LC 167</t>
  </si>
  <si>
    <t xml:space="preserve">Sum too small: move left; too big: move right</t>
  </si>
  <si>
    <t xml:space="preserve">Container With Most Water</t>
  </si>
  <si>
    <t xml:space="preserve">LC 11</t>
  </si>
  <si>
    <t xml:space="preserve">Move the shorter wall inward each step</t>
  </si>
  <si>
    <t xml:space="preserve">3Sum</t>
  </si>
  <si>
    <t xml:space="preserve">LC 15</t>
  </si>
  <si>
    <t xml:space="preserve">Sort, fix i, two pointers on the rest, skip duplicates</t>
  </si>
  <si>
    <t xml:space="preserve">Running Sum of 1D Array</t>
  </si>
  <si>
    <t xml:space="preserve">LC 1480</t>
  </si>
  <si>
    <t xml:space="preserve">p[i] = p[i-1] + a[i]</t>
  </si>
  <si>
    <t xml:space="preserve">Find Pivot Index (Equilibrium)</t>
  </si>
  <si>
    <t xml:space="preserve">LC 724</t>
  </si>
  <si>
    <t xml:space="preserve">Left sum == total - left - a[i]</t>
  </si>
  <si>
    <t xml:space="preserve">Range Sum Query - Immutable</t>
  </si>
  <si>
    <t xml:space="preserve">LC 303</t>
  </si>
  <si>
    <t xml:space="preserve">Precompute prefix; sum(l,r) = p[r+1] - p[l]</t>
  </si>
  <si>
    <t xml:space="preserve">Product of Array Except Self</t>
  </si>
  <si>
    <t xml:space="preserve">LC 238</t>
  </si>
  <si>
    <t xml:space="preserve">Left-product pass, then right-product pass</t>
  </si>
  <si>
    <t xml:space="preserve">Subarray Sum Equals K</t>
  </si>
  <si>
    <t xml:space="preserve">LC 560</t>
  </si>
  <si>
    <t xml:space="preserve">Map of prefix-sum counts; add count[p - k]</t>
  </si>
  <si>
    <t xml:space="preserve">Max Sum Subarray of Size k</t>
  </si>
  <si>
    <t xml:space="preserve">Fixed window: add incoming, subtract outgoing</t>
  </si>
  <si>
    <t xml:space="preserve">Maximum Average Subarray I</t>
  </si>
  <si>
    <t xml:space="preserve">LC 643</t>
  </si>
  <si>
    <t xml:space="preserve">Fixed window sum of size k, divide best by k</t>
  </si>
  <si>
    <t xml:space="preserve">Minimum Size Subarray Sum</t>
  </si>
  <si>
    <t xml:space="preserve">LC 209</t>
  </si>
  <si>
    <t xml:space="preserve">Grow right; shrink left while sum &gt;= target</t>
  </si>
  <si>
    <t xml:space="preserve">Longest Substring Without Repeating Characters</t>
  </si>
  <si>
    <t xml:space="preserve">LC 3</t>
  </si>
  <si>
    <t xml:space="preserve">Variable window with last-seen map</t>
  </si>
  <si>
    <t xml:space="preserve">Permutation in String</t>
  </si>
  <si>
    <t xml:space="preserve">LC 567</t>
  </si>
  <si>
    <t xml:space="preserve">Fixed window of len(s1); compare 26-count arrays</t>
  </si>
  <si>
    <t xml:space="preserve">Longest Repeating Character Replacement</t>
  </si>
  <si>
    <t xml:space="preserve">LC 424</t>
  </si>
  <si>
    <t xml:space="preserve">Valid while window - maxFreq &lt;= k</t>
  </si>
  <si>
    <t xml:space="preserve">Problem (original, scenario-style)</t>
  </si>
  <si>
    <t xml:space="preserve">Expected Logic</t>
  </si>
  <si>
    <t xml:space="preserve">Given marks of N students, print how many scored above the class average</t>
  </si>
  <si>
    <t xml:space="preserve">Two passes: compute average, then count</t>
  </si>
  <si>
    <t xml:space="preserve">Find the element that appears once when every other appears twice</t>
  </si>
  <si>
    <t xml:space="preserve">XOR all elements</t>
  </si>
  <si>
    <t xml:space="preserve">Check whether two employee names are rotations of each other</t>
  </si>
  <si>
    <t xml:space="preserve">Equal length and s2 is a substring of s1+s1</t>
  </si>
  <si>
    <t xml:space="preserve">Convert a sentence to title case without using built-in title functions</t>
  </si>
  <si>
    <t xml:space="preserve">Uppercase the char after a space or at index 0</t>
  </si>
  <si>
    <t xml:space="preserve">Given sorted order IDs, count how many times a given ID occurs</t>
  </si>
  <si>
    <t xml:space="preserve">Last position - first position + 1 via binary search</t>
  </si>
  <si>
    <t xml:space="preserve">Find the smallest number in a sorted array that was rotated</t>
  </si>
  <si>
    <t xml:space="preserve">Binary search comparing mid with hi</t>
  </si>
  <si>
    <t xml:space="preserve">Sort an array of product names by length, then alphabetically</t>
  </si>
  <si>
    <t xml:space="preserve">Custom comparator on (length, name)</t>
  </si>
  <si>
    <t xml:space="preserve">Given two sorted lists of ticket numbers, merge them without duplicates</t>
  </si>
  <si>
    <t xml:space="preserve">Merge step of merge sort, skip equal values</t>
  </si>
  <si>
    <t xml:space="preserve">Print the first repeating character in a customer code</t>
  </si>
  <si>
    <t xml:space="preserve">Set; first char already in set</t>
  </si>
  <si>
    <t xml:space="preserve">Count the frequency of each word in a sentence and print in input order</t>
  </si>
  <si>
    <t xml:space="preserve">Ordered map / map plus list of first occurrences</t>
  </si>
  <si>
    <t xml:space="preserve">Check if an array of daily temperatures is a palindrome</t>
  </si>
  <si>
    <t xml:space="preserve">Compare a[i] with a[n-1-i]</t>
  </si>
  <si>
    <t xml:space="preserve">Move all negative numbers to the front, keeping order not required</t>
  </si>
  <si>
    <t xml:space="preserve">Partition with left/right pointers</t>
  </si>
  <si>
    <t xml:space="preserve">Answer Q queries: total sales between day L and day R</t>
  </si>
  <si>
    <t xml:space="preserve">Prefix array, O(1) per query</t>
  </si>
  <si>
    <t xml:space="preserve">Find the longest stretch of days with equal profit and loss days (+1/-1)</t>
  </si>
  <si>
    <t xml:space="preserve">Prefix sum with first-seen index map</t>
  </si>
  <si>
    <t xml:space="preserve">Find the 7-day window with the highest website visits</t>
  </si>
  <si>
    <t xml:space="preserve">Fixed window of size 7</t>
  </si>
  <si>
    <t xml:space="preserve">Count subarrays of size k whose average is at least a threshold</t>
  </si>
  <si>
    <t xml:space="preserve">Fixed window sum compared to k * threshold</t>
  </si>
  <si>
    <t xml:space="preserve">Category</t>
  </si>
  <si>
    <t xml:space="preserve">Program</t>
  </si>
  <si>
    <t xml:space="preserve">Key Logic</t>
  </si>
  <si>
    <t xml:space="preserve">Number Programs</t>
  </si>
  <si>
    <t xml:space="preserve">Prime check (and primes in a range)</t>
  </si>
  <si>
    <t xml:space="preserve">Trial division up to sqrt(n)</t>
  </si>
  <si>
    <t xml:space="preserve">Palindrome number</t>
  </si>
  <si>
    <t xml:space="preserve">Reverse digits with % and /</t>
  </si>
  <si>
    <t xml:space="preserve">Armstrong number</t>
  </si>
  <si>
    <t xml:space="preserve">Sum of digits raised to digit count</t>
  </si>
  <si>
    <t xml:space="preserve">GCD and LCM</t>
  </si>
  <si>
    <t xml:space="preserve">Euclid; lcm = a*b/gcd</t>
  </si>
  <si>
    <t xml:space="preserve">Fibonacci series up to N</t>
  </si>
  <si>
    <t xml:space="preserve">Iterative two-variable loop</t>
  </si>
  <si>
    <t xml:space="preserve">Factorial and sum of digits</t>
  </si>
  <si>
    <t xml:space="preserve">Loop; watch overflow for large n</t>
  </si>
  <si>
    <t xml:space="preserve">Perfect number / strong number</t>
  </si>
  <si>
    <t xml:space="preserve">Sum of divisors / sum of digit factorials</t>
  </si>
  <si>
    <t xml:space="preserve">Decimal to binary conversion</t>
  </si>
  <si>
    <t xml:space="preserve">Repeated division by 2</t>
  </si>
  <si>
    <t xml:space="preserve">Patterns</t>
  </si>
  <si>
    <t xml:space="preserve">Right-angled star triangle</t>
  </si>
  <si>
    <t xml:space="preserve">Outer loop rows, inner loop i stars</t>
  </si>
  <si>
    <t xml:space="preserve">Pyramid (centered stars)</t>
  </si>
  <si>
    <t xml:space="preserve">n-i spaces then 2i-1 stars</t>
  </si>
  <si>
    <t xml:space="preserve">Floyd's triangle</t>
  </si>
  <si>
    <t xml:space="preserve">Running counter across rows</t>
  </si>
  <si>
    <t xml:space="preserve">Number pyramid / palindrome rows</t>
  </si>
  <si>
    <t xml:space="preserve">Ascending then descending numbers per row</t>
  </si>
  <si>
    <t xml:space="preserve">Hollow square / hollow diamond</t>
  </si>
  <si>
    <t xml:space="preserve">Print star only on borders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</si>
</sst>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EDE2F6"/>
      <rgbColor rgb="FFFFC7CE"/>
      <rgbColor rgb="FFE2EFDA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move-zeroes/" TargetMode="External"/><Relationship Id="rId3" Type="http://schemas.openxmlformats.org/officeDocument/2006/relationships/hyperlink" Target="https://leetcode.com/problems/rotate-array/" TargetMode="External"/><Relationship Id="rId4" Type="http://schemas.openxmlformats.org/officeDocument/2006/relationships/hyperlink" Target="https://leetcode.com/problems/maximum-subarray/" TargetMode="External"/><Relationship Id="rId5" Type="http://schemas.openxmlformats.org/officeDocument/2006/relationships/hyperlink" Target="https://leetcode.com/problems/valid-palindrome/" TargetMode="External"/><Relationship Id="rId6" Type="http://schemas.openxmlformats.org/officeDocument/2006/relationships/hyperlink" Target="https://leetcode.com/problems/reverse-words-in-a-string/" TargetMode="External"/><Relationship Id="rId7" Type="http://schemas.openxmlformats.org/officeDocument/2006/relationships/hyperlink" Target="https://leetcode.com/problems/first-unique-character-in-a-string/" TargetMode="External"/><Relationship Id="rId8" Type="http://schemas.openxmlformats.org/officeDocument/2006/relationships/hyperlink" Target="https://leetcode.com/problems/longest-common-prefix/" TargetMode="External"/><Relationship Id="rId9" Type="http://schemas.openxmlformats.org/officeDocument/2006/relationships/hyperlink" Target="https://leetcode.com/problems/string-compression/" TargetMode="External"/><Relationship Id="rId10" Type="http://schemas.openxmlformats.org/officeDocument/2006/relationships/hyperlink" Target="https://leetcode.com/problems/binary-search/" TargetMode="External"/><Relationship Id="rId11" Type="http://schemas.openxmlformats.org/officeDocument/2006/relationships/hyperlink" Target="https://leetcode.com/problems/search-insert-position/" TargetMode="External"/><Relationship Id="rId12" Type="http://schemas.openxmlformats.org/officeDocument/2006/relationships/hyperlink" Target="https://leetcode.com/problems/find-first-and-last-position-of-element-in-sorted-array/" TargetMode="External"/><Relationship Id="rId13" Type="http://schemas.openxmlformats.org/officeDocument/2006/relationships/hyperlink" Target="https://leetcode.com/problems/sqrtx/" TargetMode="External"/><Relationship Id="rId14" Type="http://schemas.openxmlformats.org/officeDocument/2006/relationships/hyperlink" Target="https://leetcode.com/problems/find-peak-element/" TargetMode="External"/><Relationship Id="rId15" Type="http://schemas.openxmlformats.org/officeDocument/2006/relationships/hyperlink" Target="https://leetcode.com/problems/merge-sorted-array/" TargetMode="External"/><Relationship Id="rId16" Type="http://schemas.openxmlformats.org/officeDocument/2006/relationships/hyperlink" Target="https://leetcode.com/problems/sort-colors/" TargetMode="External"/><Relationship Id="rId17" Type="http://schemas.openxmlformats.org/officeDocument/2006/relationships/hyperlink" Target="https://leetcode.com/problems/sort-characters-by-frequency/" TargetMode="External"/><Relationship Id="rId18" Type="http://schemas.openxmlformats.org/officeDocument/2006/relationships/hyperlink" Target="https://leetcode.com/problems/merge-intervals/" TargetMode="External"/><Relationship Id="rId19" Type="http://schemas.openxmlformats.org/officeDocument/2006/relationships/hyperlink" Target="https://leetcode.com/problems/two-sum/" TargetMode="External"/><Relationship Id="rId20" Type="http://schemas.openxmlformats.org/officeDocument/2006/relationships/hyperlink" Target="https://leetcode.com/problems/contains-duplicate/" TargetMode="External"/><Relationship Id="rId21" Type="http://schemas.openxmlformats.org/officeDocument/2006/relationships/hyperlink" Target="https://leetcode.com/problems/majority-element/" TargetMode="External"/><Relationship Id="rId22" Type="http://schemas.openxmlformats.org/officeDocument/2006/relationships/hyperlink" Target="https://leetcode.com/problems/intersection-of-two-arrays/" TargetMode="External"/><Relationship Id="rId23" Type="http://schemas.openxmlformats.org/officeDocument/2006/relationships/hyperlink" Target="https://leetcode.com/problems/group-anagrams/" TargetMode="External"/><Relationship Id="rId24" Type="http://schemas.openxmlformats.org/officeDocument/2006/relationships/hyperlink" Target="https://leetcode.com/problems/longest-consecutive-sequence/" TargetMode="External"/><Relationship Id="rId25" Type="http://schemas.openxmlformats.org/officeDocument/2006/relationships/hyperlink" Target="https://leetcode.com/problems/reverse-string/" TargetMode="External"/><Relationship Id="rId26" Type="http://schemas.openxmlformats.org/officeDocument/2006/relationships/hyperlink" Target="https://leetcode.com/problems/remove-duplicates-from-sorted-array/" TargetMode="External"/><Relationship Id="rId27" Type="http://schemas.openxmlformats.org/officeDocument/2006/relationships/hyperlink" Target="https://leetcode.com/problems/squares-of-a-sorted-array/" TargetMode="External"/><Relationship Id="rId28" Type="http://schemas.openxmlformats.org/officeDocument/2006/relationships/hyperlink" Target="https://leetcode.com/problems/two-sum-ii-input-array-is-sorted/" TargetMode="External"/><Relationship Id="rId29" Type="http://schemas.openxmlformats.org/officeDocument/2006/relationships/hyperlink" Target="https://leetcode.com/problems/container-with-most-water/" TargetMode="External"/><Relationship Id="rId30" Type="http://schemas.openxmlformats.org/officeDocument/2006/relationships/hyperlink" Target="https://leetcode.com/problems/3sum/" TargetMode="External"/><Relationship Id="rId31" Type="http://schemas.openxmlformats.org/officeDocument/2006/relationships/hyperlink" Target="https://leetcode.com/problems/running-sum-of-1d-array/" TargetMode="External"/><Relationship Id="rId32" Type="http://schemas.openxmlformats.org/officeDocument/2006/relationships/hyperlink" Target="https://leetcode.com/problems/find-pivot-index/" TargetMode="External"/><Relationship Id="rId33" Type="http://schemas.openxmlformats.org/officeDocument/2006/relationships/hyperlink" Target="https://leetcode.com/problems/range-sum-query-immutable/" TargetMode="External"/><Relationship Id="rId34" Type="http://schemas.openxmlformats.org/officeDocument/2006/relationships/hyperlink" Target="https://leetcode.com/problems/product-of-array-except-self/" TargetMode="External"/><Relationship Id="rId35" Type="http://schemas.openxmlformats.org/officeDocument/2006/relationships/hyperlink" Target="https://leetcode.com/problems/subarray-sum-equals-k/" TargetMode="External"/><Relationship Id="rId36" Type="http://schemas.openxmlformats.org/officeDocument/2006/relationships/hyperlink" Target="https://leetcode.com/problems/maximum-average-subarray-i/" TargetMode="External"/><Relationship Id="rId37" Type="http://schemas.openxmlformats.org/officeDocument/2006/relationships/hyperlink" Target="https://leetcode.com/problems/minimum-size-subarray-sum/" TargetMode="External"/><Relationship Id="rId38" Type="http://schemas.openxmlformats.org/officeDocument/2006/relationships/hyperlink" Target="https://leetcode.com/problems/longest-substring-without-repeating-characters/" TargetMode="External"/><Relationship Id="rId39" Type="http://schemas.openxmlformats.org/officeDocument/2006/relationships/hyperlink" Target="https://leetcode.com/problems/permutation-in-string/" TargetMode="External"/><Relationship Id="rId40" Type="http://schemas.openxmlformats.org/officeDocument/2006/relationships/hyperlink" Target="https://leetcode.com/problems/longest-repeating-character-replacement/" TargetMode="External"/><Relationship Id="rId4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f aca="false">COUNTIFS('Question Bank'!$B$2:$B$46,$A6,'Question Bank'!$E$2:$E$46,"Easy")</f>
        <v>4</v>
      </c>
      <c r="C6" s="6" t="n">
        <f aca="false">COUNTIFS('Question Bank'!$B$2:$B$46,$A6,'Question Bank'!$E$2:$E$46,"Medium")</f>
        <v>2</v>
      </c>
      <c r="D6" s="6" t="n">
        <f aca="false">B6+C6</f>
        <v>6</v>
      </c>
      <c r="E6" s="6" t="n">
        <f aca="false">COUNTIF('Write-the-Logic Variants'!$B$2:$B$17,$A6)</f>
        <v>2</v>
      </c>
      <c r="F6" s="6" t="n">
        <f aca="false">COUNTIFS('Question Bank'!$B$2:$B$46,$A6,'Question Bank'!$H$2:$H$46,"Solved")+COUNTIFS('Write-the-Logic Variants'!$B$2:$B$17,$A6,'Write-the-Logic Variants'!$F$2:$F$17,"Solved")</f>
        <v>0</v>
      </c>
      <c r="G6" s="7" t="n">
        <f aca="false">IF(D6+E6=0,0,F6/(D6+E6))</f>
        <v>0</v>
      </c>
    </row>
    <row r="7" customFormat="false" ht="15" hidden="false" customHeight="false" outlineLevel="0" collapsed="false">
      <c r="A7" s="8" t="s">
        <v>11</v>
      </c>
      <c r="B7" s="6" t="n">
        <f aca="false">COUNTIFS('Question Bank'!$B$2:$B$46,$A7,'Question Bank'!$E$2:$E$46,"Easy")</f>
        <v>4</v>
      </c>
      <c r="C7" s="6" t="n">
        <f aca="false">COUNTIFS('Question Bank'!$B$2:$B$46,$A7,'Question Bank'!$E$2:$E$46,"Medium")</f>
        <v>2</v>
      </c>
      <c r="D7" s="6" t="n">
        <f aca="false">B7+C7</f>
        <v>6</v>
      </c>
      <c r="E7" s="6" t="n">
        <f aca="false">COUNTIF('Write-the-Logic Variants'!$B$2:$B$17,$A7)</f>
        <v>2</v>
      </c>
      <c r="F7" s="6" t="n">
        <f aca="false">COUNTIFS('Question Bank'!$B$2:$B$46,$A7,'Question Bank'!$H$2:$H$46,"Solved")+COUNTIFS('Write-the-Logic Variants'!$B$2:$B$17,$A7,'Write-the-Logic Variants'!$F$2:$F$17,"Solved")</f>
        <v>0</v>
      </c>
      <c r="G7" s="7" t="n">
        <f aca="false">IF(D7+E7=0,0,F7/(D7+E7))</f>
        <v>0</v>
      </c>
    </row>
    <row r="8" customFormat="false" ht="15" hidden="false" customHeight="false" outlineLevel="0" collapsed="false">
      <c r="A8" s="9" t="s">
        <v>12</v>
      </c>
      <c r="B8" s="6" t="n">
        <f aca="false">COUNTIFS('Question Bank'!$B$2:$B$46,$A8,'Question Bank'!$E$2:$E$46,"Easy")</f>
        <v>3</v>
      </c>
      <c r="C8" s="6" t="n">
        <f aca="false">COUNTIFS('Question Bank'!$B$2:$B$46,$A8,'Question Bank'!$E$2:$E$46,"Medium")</f>
        <v>2</v>
      </c>
      <c r="D8" s="6" t="n">
        <f aca="false">B8+C8</f>
        <v>5</v>
      </c>
      <c r="E8" s="6" t="n">
        <f aca="false">COUNTIF('Write-the-Logic Variants'!$B$2:$B$17,$A8)</f>
        <v>2</v>
      </c>
      <c r="F8" s="6" t="n">
        <f aca="false">COUNTIFS('Question Bank'!$B$2:$B$46,$A8,'Question Bank'!$H$2:$H$46,"Solved")+COUNTIFS('Write-the-Logic Variants'!$B$2:$B$17,$A8,'Write-the-Logic Variants'!$F$2:$F$17,"Solved")</f>
        <v>0</v>
      </c>
      <c r="G8" s="7" t="n">
        <f aca="false">IF(D8+E8=0,0,F8/(D8+E8))</f>
        <v>0</v>
      </c>
    </row>
    <row r="9" customFormat="false" ht="15" hidden="false" customHeight="false" outlineLevel="0" collapsed="false">
      <c r="A9" s="10" t="s">
        <v>13</v>
      </c>
      <c r="B9" s="6" t="n">
        <f aca="false">COUNTIFS('Question Bank'!$B$2:$B$46,$A9,'Question Bank'!$E$2:$E$46,"Easy")</f>
        <v>2</v>
      </c>
      <c r="C9" s="6" t="n">
        <f aca="false">COUNTIFS('Question Bank'!$B$2:$B$46,$A9,'Question Bank'!$E$2:$E$46,"Medium")</f>
        <v>3</v>
      </c>
      <c r="D9" s="6" t="n">
        <f aca="false">B9+C9</f>
        <v>5</v>
      </c>
      <c r="E9" s="6" t="n">
        <f aca="false">COUNTIF('Write-the-Logic Variants'!$B$2:$B$17,$A9)</f>
        <v>2</v>
      </c>
      <c r="F9" s="6" t="n">
        <f aca="false">COUNTIFS('Question Bank'!$B$2:$B$46,$A9,'Question Bank'!$H$2:$H$46,"Solved")+COUNTIFS('Write-the-Logic Variants'!$B$2:$B$17,$A9,'Write-the-Logic Variants'!$F$2:$F$17,"Solved")</f>
        <v>0</v>
      </c>
      <c r="G9" s="7" t="n">
        <f aca="false">IF(D9+E9=0,0,F9/(D9+E9))</f>
        <v>0</v>
      </c>
    </row>
    <row r="10" customFormat="false" ht="15" hidden="false" customHeight="false" outlineLevel="0" collapsed="false">
      <c r="A10" s="11" t="s">
        <v>14</v>
      </c>
      <c r="B10" s="6" t="n">
        <f aca="false">COUNTIFS('Question Bank'!$B$2:$B$46,$A10,'Question Bank'!$E$2:$E$46,"Easy")</f>
        <v>4</v>
      </c>
      <c r="C10" s="6" t="n">
        <f aca="false">COUNTIFS('Question Bank'!$B$2:$B$46,$A10,'Question Bank'!$E$2:$E$46,"Medium")</f>
        <v>2</v>
      </c>
      <c r="D10" s="6" t="n">
        <f aca="false">B10+C10</f>
        <v>6</v>
      </c>
      <c r="E10" s="6" t="n">
        <f aca="false">COUNTIF('Write-the-Logic Variants'!$B$2:$B$17,$A10)</f>
        <v>2</v>
      </c>
      <c r="F10" s="6" t="n">
        <f aca="false">COUNTIFS('Question Bank'!$B$2:$B$46,$A10,'Question Bank'!$H$2:$H$46,"Solved")+COUNTIFS('Write-the-Logic Variants'!$B$2:$B$17,$A10,'Write-the-Logic Variants'!$F$2:$F$17,"Solved")</f>
        <v>0</v>
      </c>
      <c r="G10" s="7" t="n">
        <f aca="false">IF(D10+E10=0,0,F10/(D10+E10))</f>
        <v>0</v>
      </c>
    </row>
    <row r="11" customFormat="false" ht="15" hidden="false" customHeight="false" outlineLevel="0" collapsed="false">
      <c r="A11" s="12" t="s">
        <v>15</v>
      </c>
      <c r="B11" s="6" t="n">
        <f aca="false">COUNTIFS('Question Bank'!$B$2:$B$46,$A11,'Question Bank'!$E$2:$E$46,"Easy")</f>
        <v>3</v>
      </c>
      <c r="C11" s="6" t="n">
        <f aca="false">COUNTIFS('Question Bank'!$B$2:$B$46,$A11,'Question Bank'!$E$2:$E$46,"Medium")</f>
        <v>3</v>
      </c>
      <c r="D11" s="6" t="n">
        <f aca="false">B11+C11</f>
        <v>6</v>
      </c>
      <c r="E11" s="6" t="n">
        <f aca="false">COUNTIF('Write-the-Logic Variants'!$B$2:$B$17,$A11)</f>
        <v>2</v>
      </c>
      <c r="F11" s="6" t="n">
        <f aca="false">COUNTIFS('Question Bank'!$B$2:$B$46,$A11,'Question Bank'!$H$2:$H$46,"Solved")+COUNTIFS('Write-the-Logic Variants'!$B$2:$B$17,$A11,'Write-the-Logic Variants'!$F$2:$F$17,"Solved")</f>
        <v>0</v>
      </c>
      <c r="G11" s="7" t="n">
        <f aca="false">IF(D11+E11=0,0,F11/(D11+E11))</f>
        <v>0</v>
      </c>
    </row>
    <row r="12" customFormat="false" ht="15" hidden="false" customHeight="false" outlineLevel="0" collapsed="false">
      <c r="A12" s="13" t="s">
        <v>16</v>
      </c>
      <c r="B12" s="6" t="n">
        <f aca="false">COUNTIFS('Question Bank'!$B$2:$B$46,$A12,'Question Bank'!$E$2:$E$46,"Easy")</f>
        <v>3</v>
      </c>
      <c r="C12" s="6" t="n">
        <f aca="false">COUNTIFS('Question Bank'!$B$2:$B$46,$A12,'Question Bank'!$E$2:$E$46,"Medium")</f>
        <v>2</v>
      </c>
      <c r="D12" s="6" t="n">
        <f aca="false">B12+C12</f>
        <v>5</v>
      </c>
      <c r="E12" s="6" t="n">
        <f aca="false">COUNTIF('Write-the-Logic Variants'!$B$2:$B$17,$A12)</f>
        <v>2</v>
      </c>
      <c r="F12" s="6" t="n">
        <f aca="false">COUNTIFS('Question Bank'!$B$2:$B$46,$A12,'Question Bank'!$H$2:$H$46,"Solved")+COUNTIFS('Write-the-Logic Variants'!$B$2:$B$17,$A12,'Write-the-Logic Variants'!$F$2:$F$17,"Solved")</f>
        <v>0</v>
      </c>
      <c r="G12" s="7" t="n">
        <f aca="false">IF(D12+E12=0,0,F12/(D12+E12))</f>
        <v>0</v>
      </c>
    </row>
    <row r="13" customFormat="false" ht="15" hidden="false" customHeight="false" outlineLevel="0" collapsed="false">
      <c r="A13" s="14" t="s">
        <v>17</v>
      </c>
      <c r="B13" s="6" t="n">
        <f aca="false">COUNTIFS('Question Bank'!$B$2:$B$46,$A13,'Question Bank'!$E$2:$E$46,"Easy")</f>
        <v>2</v>
      </c>
      <c r="C13" s="6" t="n">
        <f aca="false">COUNTIFS('Question Bank'!$B$2:$B$46,$A13,'Question Bank'!$E$2:$E$46,"Medium")</f>
        <v>4</v>
      </c>
      <c r="D13" s="6" t="n">
        <f aca="false">B13+C13</f>
        <v>6</v>
      </c>
      <c r="E13" s="6" t="n">
        <f aca="false">COUNTIF('Write-the-Logic Variants'!$B$2:$B$17,$A13)</f>
        <v>2</v>
      </c>
      <c r="F13" s="6" t="n">
        <f aca="false">COUNTIFS('Question Bank'!$B$2:$B$46,$A13,'Question Bank'!$H$2:$H$46,"Solved")+COUNTIFS('Write-the-Logic Variants'!$B$2:$B$17,$A13,'Write-the-Logic Variants'!$F$2:$F$17,"Solved")</f>
        <v>0</v>
      </c>
      <c r="G13" s="7" t="n">
        <f aca="false">IF(D13+E13=0,0,F13/(D13+E13))</f>
        <v>0</v>
      </c>
    </row>
    <row r="14" customFormat="false" ht="15" hidden="false" customHeight="false" outlineLevel="0" collapsed="false">
      <c r="A14" s="15" t="s">
        <v>18</v>
      </c>
      <c r="B14" s="16" t="n">
        <f aca="false">SUM(B6:B13)</f>
        <v>25</v>
      </c>
      <c r="C14" s="16" t="n">
        <f aca="false">SUM(C6:C13)</f>
        <v>20</v>
      </c>
      <c r="D14" s="16" t="n">
        <f aca="false">SUM(D6:D13)</f>
        <v>45</v>
      </c>
      <c r="E14" s="16" t="n">
        <f aca="false">SUM(E6:E13)</f>
        <v>16</v>
      </c>
      <c r="F14" s="16" t="n">
        <f aca="false">SUM(F6:F13)</f>
        <v>0</v>
      </c>
      <c r="G14" s="17" t="n">
        <f aca="false">IF(D14+E14=0,0,F14/(D14+E14))</f>
        <v>0</v>
      </c>
    </row>
    <row r="16" customFormat="false" ht="15" hidden="false" customHeight="false" outlineLevel="0" collapsed="false">
      <c r="A16" s="1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55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4" t="s">
        <v>20</v>
      </c>
      <c r="B1" s="4" t="s">
        <v>3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customFormat="false" ht="15" hidden="false" customHeight="false" outlineLevel="0" collapsed="false">
      <c r="A2" s="19" t="n">
        <v>1</v>
      </c>
      <c r="B2" s="20" t="s">
        <v>10</v>
      </c>
      <c r="C2" s="21" t="s">
        <v>27</v>
      </c>
      <c r="D2" s="19" t="s">
        <v>28</v>
      </c>
      <c r="E2" s="19" t="s">
        <v>4</v>
      </c>
      <c r="F2" s="21" t="s">
        <v>29</v>
      </c>
      <c r="G2" s="19" t="s">
        <v>30</v>
      </c>
      <c r="H2" s="19" t="s">
        <v>31</v>
      </c>
    </row>
    <row r="3" customFormat="false" ht="15" hidden="false" customHeight="false" outlineLevel="0" collapsed="false">
      <c r="A3" s="19" t="n">
        <v>2</v>
      </c>
      <c r="B3" s="20" t="s">
        <v>10</v>
      </c>
      <c r="C3" s="21" t="s">
        <v>32</v>
      </c>
      <c r="D3" s="19" t="s">
        <v>33</v>
      </c>
      <c r="E3" s="19" t="s">
        <v>4</v>
      </c>
      <c r="F3" s="21" t="s">
        <v>34</v>
      </c>
      <c r="G3" s="22" t="s">
        <v>35</v>
      </c>
      <c r="H3" s="19" t="s">
        <v>31</v>
      </c>
    </row>
    <row r="4" customFormat="false" ht="15" hidden="false" customHeight="false" outlineLevel="0" collapsed="false">
      <c r="A4" s="19" t="n">
        <v>3</v>
      </c>
      <c r="B4" s="20" t="s">
        <v>10</v>
      </c>
      <c r="C4" s="21" t="s">
        <v>36</v>
      </c>
      <c r="D4" s="19" t="s">
        <v>37</v>
      </c>
      <c r="E4" s="19" t="s">
        <v>4</v>
      </c>
      <c r="F4" s="21" t="s">
        <v>38</v>
      </c>
      <c r="G4" s="22" t="s">
        <v>35</v>
      </c>
      <c r="H4" s="19" t="s">
        <v>31</v>
      </c>
    </row>
    <row r="5" customFormat="false" ht="15" hidden="false" customHeight="false" outlineLevel="0" collapsed="false">
      <c r="A5" s="19" t="n">
        <v>4</v>
      </c>
      <c r="B5" s="20" t="s">
        <v>10</v>
      </c>
      <c r="C5" s="21" t="s">
        <v>39</v>
      </c>
      <c r="D5" s="19" t="s">
        <v>40</v>
      </c>
      <c r="E5" s="19" t="s">
        <v>5</v>
      </c>
      <c r="F5" s="21" t="s">
        <v>41</v>
      </c>
      <c r="G5" s="22" t="s">
        <v>35</v>
      </c>
      <c r="H5" s="19" t="s">
        <v>31</v>
      </c>
    </row>
    <row r="6" customFormat="false" ht="15" hidden="false" customHeight="false" outlineLevel="0" collapsed="false">
      <c r="A6" s="19" t="n">
        <v>5</v>
      </c>
      <c r="B6" s="20" t="s">
        <v>10</v>
      </c>
      <c r="C6" s="21" t="s">
        <v>42</v>
      </c>
      <c r="D6" s="19" t="s">
        <v>28</v>
      </c>
      <c r="E6" s="19" t="s">
        <v>4</v>
      </c>
      <c r="F6" s="21" t="s">
        <v>43</v>
      </c>
      <c r="G6" s="19" t="s">
        <v>30</v>
      </c>
      <c r="H6" s="19" t="s">
        <v>31</v>
      </c>
    </row>
    <row r="7" customFormat="false" ht="15" hidden="false" customHeight="false" outlineLevel="0" collapsed="false">
      <c r="A7" s="19" t="n">
        <v>6</v>
      </c>
      <c r="B7" s="20" t="s">
        <v>10</v>
      </c>
      <c r="C7" s="21" t="s">
        <v>44</v>
      </c>
      <c r="D7" s="19" t="s">
        <v>45</v>
      </c>
      <c r="E7" s="19" t="s">
        <v>5</v>
      </c>
      <c r="F7" s="21" t="s">
        <v>46</v>
      </c>
      <c r="G7" s="22" t="s">
        <v>35</v>
      </c>
      <c r="H7" s="19" t="s">
        <v>31</v>
      </c>
    </row>
    <row r="8" customFormat="false" ht="15" hidden="false" customHeight="false" outlineLevel="0" collapsed="false">
      <c r="A8" s="19" t="n">
        <v>7</v>
      </c>
      <c r="B8" s="23" t="s">
        <v>11</v>
      </c>
      <c r="C8" s="21" t="s">
        <v>47</v>
      </c>
      <c r="D8" s="19" t="s">
        <v>48</v>
      </c>
      <c r="E8" s="19" t="s">
        <v>4</v>
      </c>
      <c r="F8" s="21" t="s">
        <v>49</v>
      </c>
      <c r="G8" s="22" t="s">
        <v>35</v>
      </c>
      <c r="H8" s="19" t="s">
        <v>31</v>
      </c>
    </row>
    <row r="9" customFormat="false" ht="15" hidden="false" customHeight="false" outlineLevel="0" collapsed="false">
      <c r="A9" s="19" t="n">
        <v>8</v>
      </c>
      <c r="B9" s="23" t="s">
        <v>11</v>
      </c>
      <c r="C9" s="21" t="s">
        <v>50</v>
      </c>
      <c r="D9" s="19" t="s">
        <v>51</v>
      </c>
      <c r="E9" s="19" t="s">
        <v>5</v>
      </c>
      <c r="F9" s="21" t="s">
        <v>52</v>
      </c>
      <c r="G9" s="22" t="s">
        <v>35</v>
      </c>
      <c r="H9" s="19" t="s">
        <v>31</v>
      </c>
    </row>
    <row r="10" customFormat="false" ht="15" hidden="false" customHeight="false" outlineLevel="0" collapsed="false">
      <c r="A10" s="19" t="n">
        <v>9</v>
      </c>
      <c r="B10" s="23" t="s">
        <v>11</v>
      </c>
      <c r="C10" s="21" t="s">
        <v>53</v>
      </c>
      <c r="D10" s="19" t="s">
        <v>54</v>
      </c>
      <c r="E10" s="19" t="s">
        <v>4</v>
      </c>
      <c r="F10" s="21" t="s">
        <v>55</v>
      </c>
      <c r="G10" s="22" t="s">
        <v>35</v>
      </c>
      <c r="H10" s="19" t="s">
        <v>31</v>
      </c>
    </row>
    <row r="11" customFormat="false" ht="15" hidden="false" customHeight="false" outlineLevel="0" collapsed="false">
      <c r="A11" s="19" t="n">
        <v>10</v>
      </c>
      <c r="B11" s="23" t="s">
        <v>11</v>
      </c>
      <c r="C11" s="21" t="s">
        <v>56</v>
      </c>
      <c r="D11" s="19" t="s">
        <v>57</v>
      </c>
      <c r="E11" s="19" t="s">
        <v>4</v>
      </c>
      <c r="F11" s="21" t="s">
        <v>58</v>
      </c>
      <c r="G11" s="22" t="s">
        <v>35</v>
      </c>
      <c r="H11" s="19" t="s">
        <v>31</v>
      </c>
    </row>
    <row r="12" customFormat="false" ht="15" hidden="false" customHeight="false" outlineLevel="0" collapsed="false">
      <c r="A12" s="19" t="n">
        <v>11</v>
      </c>
      <c r="B12" s="23" t="s">
        <v>11</v>
      </c>
      <c r="C12" s="21" t="s">
        <v>59</v>
      </c>
      <c r="D12" s="19" t="s">
        <v>60</v>
      </c>
      <c r="E12" s="19" t="s">
        <v>4</v>
      </c>
      <c r="F12" s="21" t="s">
        <v>61</v>
      </c>
      <c r="G12" s="19" t="s">
        <v>62</v>
      </c>
      <c r="H12" s="19" t="s">
        <v>31</v>
      </c>
    </row>
    <row r="13" customFormat="false" ht="15" hidden="false" customHeight="false" outlineLevel="0" collapsed="false">
      <c r="A13" s="19" t="n">
        <v>12</v>
      </c>
      <c r="B13" s="23" t="s">
        <v>11</v>
      </c>
      <c r="C13" s="21" t="s">
        <v>63</v>
      </c>
      <c r="D13" s="19" t="s">
        <v>64</v>
      </c>
      <c r="E13" s="19" t="s">
        <v>5</v>
      </c>
      <c r="F13" s="21" t="s">
        <v>65</v>
      </c>
      <c r="G13" s="22" t="s">
        <v>35</v>
      </c>
      <c r="H13" s="19" t="s">
        <v>31</v>
      </c>
    </row>
    <row r="14" customFormat="false" ht="15" hidden="false" customHeight="false" outlineLevel="0" collapsed="false">
      <c r="A14" s="19" t="n">
        <v>13</v>
      </c>
      <c r="B14" s="24" t="s">
        <v>12</v>
      </c>
      <c r="C14" s="21" t="s">
        <v>66</v>
      </c>
      <c r="D14" s="19" t="s">
        <v>67</v>
      </c>
      <c r="E14" s="19" t="s">
        <v>4</v>
      </c>
      <c r="F14" s="21" t="s">
        <v>68</v>
      </c>
      <c r="G14" s="22" t="s">
        <v>35</v>
      </c>
      <c r="H14" s="19" t="s">
        <v>31</v>
      </c>
    </row>
    <row r="15" customFormat="false" ht="15" hidden="false" customHeight="false" outlineLevel="0" collapsed="false">
      <c r="A15" s="19" t="n">
        <v>14</v>
      </c>
      <c r="B15" s="24" t="s">
        <v>12</v>
      </c>
      <c r="C15" s="21" t="s">
        <v>69</v>
      </c>
      <c r="D15" s="19" t="s">
        <v>70</v>
      </c>
      <c r="E15" s="19" t="s">
        <v>4</v>
      </c>
      <c r="F15" s="21" t="s">
        <v>71</v>
      </c>
      <c r="G15" s="22" t="s">
        <v>35</v>
      </c>
      <c r="H15" s="19" t="s">
        <v>31</v>
      </c>
    </row>
    <row r="16" customFormat="false" ht="15" hidden="false" customHeight="false" outlineLevel="0" collapsed="false">
      <c r="A16" s="19" t="n">
        <v>15</v>
      </c>
      <c r="B16" s="24" t="s">
        <v>12</v>
      </c>
      <c r="C16" s="21" t="s">
        <v>72</v>
      </c>
      <c r="D16" s="19" t="s">
        <v>73</v>
      </c>
      <c r="E16" s="19" t="s">
        <v>5</v>
      </c>
      <c r="F16" s="21" t="s">
        <v>74</v>
      </c>
      <c r="G16" s="22" t="s">
        <v>35</v>
      </c>
      <c r="H16" s="19" t="s">
        <v>31</v>
      </c>
    </row>
    <row r="17" customFormat="false" ht="15" hidden="false" customHeight="false" outlineLevel="0" collapsed="false">
      <c r="A17" s="19" t="n">
        <v>16</v>
      </c>
      <c r="B17" s="24" t="s">
        <v>12</v>
      </c>
      <c r="C17" s="21" t="s">
        <v>75</v>
      </c>
      <c r="D17" s="19" t="s">
        <v>76</v>
      </c>
      <c r="E17" s="19" t="s">
        <v>4</v>
      </c>
      <c r="F17" s="21" t="s">
        <v>77</v>
      </c>
      <c r="G17" s="22" t="s">
        <v>35</v>
      </c>
      <c r="H17" s="19" t="s">
        <v>31</v>
      </c>
    </row>
    <row r="18" customFormat="false" ht="15" hidden="false" customHeight="false" outlineLevel="0" collapsed="false">
      <c r="A18" s="19" t="n">
        <v>17</v>
      </c>
      <c r="B18" s="24" t="s">
        <v>12</v>
      </c>
      <c r="C18" s="21" t="s">
        <v>78</v>
      </c>
      <c r="D18" s="19" t="s">
        <v>79</v>
      </c>
      <c r="E18" s="19" t="s">
        <v>5</v>
      </c>
      <c r="F18" s="21" t="s">
        <v>80</v>
      </c>
      <c r="G18" s="22" t="s">
        <v>35</v>
      </c>
      <c r="H18" s="19" t="s">
        <v>31</v>
      </c>
    </row>
    <row r="19" customFormat="false" ht="15" hidden="false" customHeight="false" outlineLevel="0" collapsed="false">
      <c r="A19" s="19" t="n">
        <v>18</v>
      </c>
      <c r="B19" s="25" t="s">
        <v>13</v>
      </c>
      <c r="C19" s="21" t="s">
        <v>81</v>
      </c>
      <c r="D19" s="19" t="s">
        <v>60</v>
      </c>
      <c r="E19" s="19" t="s">
        <v>4</v>
      </c>
      <c r="F19" s="21" t="s">
        <v>82</v>
      </c>
      <c r="G19" s="19" t="s">
        <v>62</v>
      </c>
      <c r="H19" s="19" t="s">
        <v>31</v>
      </c>
    </row>
    <row r="20" customFormat="false" ht="15" hidden="false" customHeight="false" outlineLevel="0" collapsed="false">
      <c r="A20" s="19" t="n">
        <v>19</v>
      </c>
      <c r="B20" s="25" t="s">
        <v>13</v>
      </c>
      <c r="C20" s="21" t="s">
        <v>83</v>
      </c>
      <c r="D20" s="19" t="s">
        <v>84</v>
      </c>
      <c r="E20" s="19" t="s">
        <v>4</v>
      </c>
      <c r="F20" s="21" t="s">
        <v>85</v>
      </c>
      <c r="G20" s="22" t="s">
        <v>35</v>
      </c>
      <c r="H20" s="19" t="s">
        <v>31</v>
      </c>
    </row>
    <row r="21" customFormat="false" ht="15" hidden="false" customHeight="false" outlineLevel="0" collapsed="false">
      <c r="A21" s="19" t="n">
        <v>20</v>
      </c>
      <c r="B21" s="25" t="s">
        <v>13</v>
      </c>
      <c r="C21" s="21" t="s">
        <v>86</v>
      </c>
      <c r="D21" s="19" t="s">
        <v>87</v>
      </c>
      <c r="E21" s="19" t="s">
        <v>5</v>
      </c>
      <c r="F21" s="21" t="s">
        <v>88</v>
      </c>
      <c r="G21" s="22" t="s">
        <v>35</v>
      </c>
      <c r="H21" s="19" t="s">
        <v>31</v>
      </c>
    </row>
    <row r="22" customFormat="false" ht="15" hidden="false" customHeight="false" outlineLevel="0" collapsed="false">
      <c r="A22" s="19" t="n">
        <v>21</v>
      </c>
      <c r="B22" s="25" t="s">
        <v>13</v>
      </c>
      <c r="C22" s="21" t="s">
        <v>89</v>
      </c>
      <c r="D22" s="19" t="s">
        <v>90</v>
      </c>
      <c r="E22" s="19" t="s">
        <v>5</v>
      </c>
      <c r="F22" s="21" t="s">
        <v>91</v>
      </c>
      <c r="G22" s="22" t="s">
        <v>35</v>
      </c>
      <c r="H22" s="19" t="s">
        <v>31</v>
      </c>
    </row>
    <row r="23" customFormat="false" ht="15" hidden="false" customHeight="false" outlineLevel="0" collapsed="false">
      <c r="A23" s="19" t="n">
        <v>22</v>
      </c>
      <c r="B23" s="25" t="s">
        <v>13</v>
      </c>
      <c r="C23" s="21" t="s">
        <v>92</v>
      </c>
      <c r="D23" s="19" t="s">
        <v>93</v>
      </c>
      <c r="E23" s="19" t="s">
        <v>5</v>
      </c>
      <c r="F23" s="21" t="s">
        <v>94</v>
      </c>
      <c r="G23" s="22" t="s">
        <v>35</v>
      </c>
      <c r="H23" s="19" t="s">
        <v>31</v>
      </c>
    </row>
    <row r="24" customFormat="false" ht="15" hidden="false" customHeight="false" outlineLevel="0" collapsed="false">
      <c r="A24" s="19" t="n">
        <v>23</v>
      </c>
      <c r="B24" s="26" t="s">
        <v>14</v>
      </c>
      <c r="C24" s="21" t="s">
        <v>95</v>
      </c>
      <c r="D24" s="19" t="s">
        <v>96</v>
      </c>
      <c r="E24" s="19" t="s">
        <v>4</v>
      </c>
      <c r="F24" s="21" t="s">
        <v>97</v>
      </c>
      <c r="G24" s="22" t="s">
        <v>35</v>
      </c>
      <c r="H24" s="19" t="s">
        <v>31</v>
      </c>
    </row>
    <row r="25" customFormat="false" ht="15" hidden="false" customHeight="false" outlineLevel="0" collapsed="false">
      <c r="A25" s="19" t="n">
        <v>24</v>
      </c>
      <c r="B25" s="26" t="s">
        <v>14</v>
      </c>
      <c r="C25" s="21" t="s">
        <v>98</v>
      </c>
      <c r="D25" s="19" t="s">
        <v>99</v>
      </c>
      <c r="E25" s="19" t="s">
        <v>4</v>
      </c>
      <c r="F25" s="21" t="s">
        <v>100</v>
      </c>
      <c r="G25" s="22" t="s">
        <v>35</v>
      </c>
      <c r="H25" s="19" t="s">
        <v>31</v>
      </c>
    </row>
    <row r="26" customFormat="false" ht="15" hidden="false" customHeight="false" outlineLevel="0" collapsed="false">
      <c r="A26" s="19" t="n">
        <v>25</v>
      </c>
      <c r="B26" s="26" t="s">
        <v>14</v>
      </c>
      <c r="C26" s="21" t="s">
        <v>101</v>
      </c>
      <c r="D26" s="19" t="s">
        <v>102</v>
      </c>
      <c r="E26" s="19" t="s">
        <v>4</v>
      </c>
      <c r="F26" s="21" t="s">
        <v>103</v>
      </c>
      <c r="G26" s="22" t="s">
        <v>35</v>
      </c>
      <c r="H26" s="19" t="s">
        <v>31</v>
      </c>
    </row>
    <row r="27" customFormat="false" ht="15" hidden="false" customHeight="false" outlineLevel="0" collapsed="false">
      <c r="A27" s="19" t="n">
        <v>26</v>
      </c>
      <c r="B27" s="26" t="s">
        <v>14</v>
      </c>
      <c r="C27" s="21" t="s">
        <v>104</v>
      </c>
      <c r="D27" s="19" t="s">
        <v>105</v>
      </c>
      <c r="E27" s="19" t="s">
        <v>4</v>
      </c>
      <c r="F27" s="21" t="s">
        <v>106</v>
      </c>
      <c r="G27" s="22" t="s">
        <v>35</v>
      </c>
      <c r="H27" s="19" t="s">
        <v>31</v>
      </c>
    </row>
    <row r="28" customFormat="false" ht="15" hidden="false" customHeight="false" outlineLevel="0" collapsed="false">
      <c r="A28" s="19" t="n">
        <v>27</v>
      </c>
      <c r="B28" s="26" t="s">
        <v>14</v>
      </c>
      <c r="C28" s="21" t="s">
        <v>107</v>
      </c>
      <c r="D28" s="19" t="s">
        <v>108</v>
      </c>
      <c r="E28" s="19" t="s">
        <v>5</v>
      </c>
      <c r="F28" s="21" t="s">
        <v>109</v>
      </c>
      <c r="G28" s="22" t="s">
        <v>35</v>
      </c>
      <c r="H28" s="19" t="s">
        <v>31</v>
      </c>
    </row>
    <row r="29" customFormat="false" ht="15" hidden="false" customHeight="false" outlineLevel="0" collapsed="false">
      <c r="A29" s="19" t="n">
        <v>28</v>
      </c>
      <c r="B29" s="26" t="s">
        <v>14</v>
      </c>
      <c r="C29" s="21" t="s">
        <v>110</v>
      </c>
      <c r="D29" s="19" t="s">
        <v>111</v>
      </c>
      <c r="E29" s="19" t="s">
        <v>5</v>
      </c>
      <c r="F29" s="21" t="s">
        <v>112</v>
      </c>
      <c r="G29" s="22" t="s">
        <v>35</v>
      </c>
      <c r="H29" s="19" t="s">
        <v>31</v>
      </c>
    </row>
    <row r="30" customFormat="false" ht="15" hidden="false" customHeight="false" outlineLevel="0" collapsed="false">
      <c r="A30" s="19" t="n">
        <v>29</v>
      </c>
      <c r="B30" s="27" t="s">
        <v>15</v>
      </c>
      <c r="C30" s="21" t="s">
        <v>113</v>
      </c>
      <c r="D30" s="19" t="s">
        <v>114</v>
      </c>
      <c r="E30" s="19" t="s">
        <v>4</v>
      </c>
      <c r="F30" s="21" t="s">
        <v>115</v>
      </c>
      <c r="G30" s="22" t="s">
        <v>35</v>
      </c>
      <c r="H30" s="19" t="s">
        <v>31</v>
      </c>
    </row>
    <row r="31" customFormat="false" ht="15" hidden="false" customHeight="false" outlineLevel="0" collapsed="false">
      <c r="A31" s="19" t="n">
        <v>30</v>
      </c>
      <c r="B31" s="27" t="s">
        <v>15</v>
      </c>
      <c r="C31" s="21" t="s">
        <v>116</v>
      </c>
      <c r="D31" s="19" t="s">
        <v>117</v>
      </c>
      <c r="E31" s="19" t="s">
        <v>4</v>
      </c>
      <c r="F31" s="21" t="s">
        <v>118</v>
      </c>
      <c r="G31" s="22" t="s">
        <v>35</v>
      </c>
      <c r="H31" s="19" t="s">
        <v>31</v>
      </c>
    </row>
    <row r="32" customFormat="false" ht="15" hidden="false" customHeight="false" outlineLevel="0" collapsed="false">
      <c r="A32" s="19" t="n">
        <v>31</v>
      </c>
      <c r="B32" s="27" t="s">
        <v>15</v>
      </c>
      <c r="C32" s="21" t="s">
        <v>119</v>
      </c>
      <c r="D32" s="19" t="s">
        <v>120</v>
      </c>
      <c r="E32" s="19" t="s">
        <v>4</v>
      </c>
      <c r="F32" s="21" t="s">
        <v>121</v>
      </c>
      <c r="G32" s="22" t="s">
        <v>35</v>
      </c>
      <c r="H32" s="19" t="s">
        <v>31</v>
      </c>
    </row>
    <row r="33" customFormat="false" ht="15" hidden="false" customHeight="false" outlineLevel="0" collapsed="false">
      <c r="A33" s="19" t="n">
        <v>32</v>
      </c>
      <c r="B33" s="27" t="s">
        <v>15</v>
      </c>
      <c r="C33" s="21" t="s">
        <v>122</v>
      </c>
      <c r="D33" s="19" t="s">
        <v>123</v>
      </c>
      <c r="E33" s="19" t="s">
        <v>5</v>
      </c>
      <c r="F33" s="21" t="s">
        <v>124</v>
      </c>
      <c r="G33" s="22" t="s">
        <v>35</v>
      </c>
      <c r="H33" s="19" t="s">
        <v>31</v>
      </c>
    </row>
    <row r="34" customFormat="false" ht="15" hidden="false" customHeight="false" outlineLevel="0" collapsed="false">
      <c r="A34" s="19" t="n">
        <v>33</v>
      </c>
      <c r="B34" s="27" t="s">
        <v>15</v>
      </c>
      <c r="C34" s="21" t="s">
        <v>125</v>
      </c>
      <c r="D34" s="19" t="s">
        <v>126</v>
      </c>
      <c r="E34" s="19" t="s">
        <v>5</v>
      </c>
      <c r="F34" s="21" t="s">
        <v>127</v>
      </c>
      <c r="G34" s="22" t="s">
        <v>35</v>
      </c>
      <c r="H34" s="19" t="s">
        <v>31</v>
      </c>
    </row>
    <row r="35" customFormat="false" ht="15" hidden="false" customHeight="false" outlineLevel="0" collapsed="false">
      <c r="A35" s="19" t="n">
        <v>34</v>
      </c>
      <c r="B35" s="27" t="s">
        <v>15</v>
      </c>
      <c r="C35" s="21" t="s">
        <v>128</v>
      </c>
      <c r="D35" s="19" t="s">
        <v>129</v>
      </c>
      <c r="E35" s="19" t="s">
        <v>5</v>
      </c>
      <c r="F35" s="21" t="s">
        <v>130</v>
      </c>
      <c r="G35" s="22" t="s">
        <v>35</v>
      </c>
      <c r="H35" s="19" t="s">
        <v>31</v>
      </c>
    </row>
    <row r="36" customFormat="false" ht="15" hidden="false" customHeight="false" outlineLevel="0" collapsed="false">
      <c r="A36" s="19" t="n">
        <v>35</v>
      </c>
      <c r="B36" s="28" t="s">
        <v>16</v>
      </c>
      <c r="C36" s="21" t="s">
        <v>131</v>
      </c>
      <c r="D36" s="19" t="s">
        <v>132</v>
      </c>
      <c r="E36" s="19" t="s">
        <v>4</v>
      </c>
      <c r="F36" s="21" t="s">
        <v>133</v>
      </c>
      <c r="G36" s="22" t="s">
        <v>35</v>
      </c>
      <c r="H36" s="19" t="s">
        <v>31</v>
      </c>
    </row>
    <row r="37" customFormat="false" ht="15" hidden="false" customHeight="false" outlineLevel="0" collapsed="false">
      <c r="A37" s="19" t="n">
        <v>36</v>
      </c>
      <c r="B37" s="28" t="s">
        <v>16</v>
      </c>
      <c r="C37" s="21" t="s">
        <v>134</v>
      </c>
      <c r="D37" s="19" t="s">
        <v>135</v>
      </c>
      <c r="E37" s="19" t="s">
        <v>4</v>
      </c>
      <c r="F37" s="21" t="s">
        <v>136</v>
      </c>
      <c r="G37" s="22" t="s">
        <v>35</v>
      </c>
      <c r="H37" s="19" t="s">
        <v>31</v>
      </c>
    </row>
    <row r="38" customFormat="false" ht="15" hidden="false" customHeight="false" outlineLevel="0" collapsed="false">
      <c r="A38" s="19" t="n">
        <v>37</v>
      </c>
      <c r="B38" s="28" t="s">
        <v>16</v>
      </c>
      <c r="C38" s="21" t="s">
        <v>137</v>
      </c>
      <c r="D38" s="19" t="s">
        <v>138</v>
      </c>
      <c r="E38" s="19" t="s">
        <v>4</v>
      </c>
      <c r="F38" s="21" t="s">
        <v>139</v>
      </c>
      <c r="G38" s="22" t="s">
        <v>35</v>
      </c>
      <c r="H38" s="19" t="s">
        <v>31</v>
      </c>
    </row>
    <row r="39" customFormat="false" ht="15" hidden="false" customHeight="false" outlineLevel="0" collapsed="false">
      <c r="A39" s="19" t="n">
        <v>38</v>
      </c>
      <c r="B39" s="28" t="s">
        <v>16</v>
      </c>
      <c r="C39" s="21" t="s">
        <v>140</v>
      </c>
      <c r="D39" s="19" t="s">
        <v>141</v>
      </c>
      <c r="E39" s="19" t="s">
        <v>5</v>
      </c>
      <c r="F39" s="21" t="s">
        <v>142</v>
      </c>
      <c r="G39" s="22" t="s">
        <v>35</v>
      </c>
      <c r="H39" s="19" t="s">
        <v>31</v>
      </c>
    </row>
    <row r="40" customFormat="false" ht="15" hidden="false" customHeight="false" outlineLevel="0" collapsed="false">
      <c r="A40" s="19" t="n">
        <v>39</v>
      </c>
      <c r="B40" s="28" t="s">
        <v>16</v>
      </c>
      <c r="C40" s="21" t="s">
        <v>143</v>
      </c>
      <c r="D40" s="19" t="s">
        <v>144</v>
      </c>
      <c r="E40" s="19" t="s">
        <v>5</v>
      </c>
      <c r="F40" s="21" t="s">
        <v>145</v>
      </c>
      <c r="G40" s="22" t="s">
        <v>35</v>
      </c>
      <c r="H40" s="19" t="s">
        <v>31</v>
      </c>
    </row>
    <row r="41" customFormat="false" ht="15" hidden="false" customHeight="false" outlineLevel="0" collapsed="false">
      <c r="A41" s="19" t="n">
        <v>40</v>
      </c>
      <c r="B41" s="29" t="s">
        <v>17</v>
      </c>
      <c r="C41" s="21" t="s">
        <v>146</v>
      </c>
      <c r="D41" s="19" t="s">
        <v>28</v>
      </c>
      <c r="E41" s="19" t="s">
        <v>4</v>
      </c>
      <c r="F41" s="21" t="s">
        <v>147</v>
      </c>
      <c r="G41" s="19" t="s">
        <v>30</v>
      </c>
      <c r="H41" s="19" t="s">
        <v>31</v>
      </c>
    </row>
    <row r="42" customFormat="false" ht="15" hidden="false" customHeight="false" outlineLevel="0" collapsed="false">
      <c r="A42" s="19" t="n">
        <v>41</v>
      </c>
      <c r="B42" s="29" t="s">
        <v>17</v>
      </c>
      <c r="C42" s="21" t="s">
        <v>148</v>
      </c>
      <c r="D42" s="19" t="s">
        <v>149</v>
      </c>
      <c r="E42" s="19" t="s">
        <v>4</v>
      </c>
      <c r="F42" s="21" t="s">
        <v>150</v>
      </c>
      <c r="G42" s="22" t="s">
        <v>35</v>
      </c>
      <c r="H42" s="19" t="s">
        <v>31</v>
      </c>
    </row>
    <row r="43" customFormat="false" ht="15" hidden="false" customHeight="false" outlineLevel="0" collapsed="false">
      <c r="A43" s="19" t="n">
        <v>42</v>
      </c>
      <c r="B43" s="29" t="s">
        <v>17</v>
      </c>
      <c r="C43" s="21" t="s">
        <v>151</v>
      </c>
      <c r="D43" s="19" t="s">
        <v>152</v>
      </c>
      <c r="E43" s="19" t="s">
        <v>5</v>
      </c>
      <c r="F43" s="21" t="s">
        <v>153</v>
      </c>
      <c r="G43" s="22" t="s">
        <v>35</v>
      </c>
      <c r="H43" s="19" t="s">
        <v>31</v>
      </c>
    </row>
    <row r="44" customFormat="false" ht="15" hidden="false" customHeight="false" outlineLevel="0" collapsed="false">
      <c r="A44" s="19" t="n">
        <v>43</v>
      </c>
      <c r="B44" s="29" t="s">
        <v>17</v>
      </c>
      <c r="C44" s="21" t="s">
        <v>154</v>
      </c>
      <c r="D44" s="19" t="s">
        <v>155</v>
      </c>
      <c r="E44" s="19" t="s">
        <v>5</v>
      </c>
      <c r="F44" s="21" t="s">
        <v>156</v>
      </c>
      <c r="G44" s="22" t="s">
        <v>35</v>
      </c>
      <c r="H44" s="19" t="s">
        <v>31</v>
      </c>
    </row>
    <row r="45" customFormat="false" ht="15" hidden="false" customHeight="false" outlineLevel="0" collapsed="false">
      <c r="A45" s="19" t="n">
        <v>44</v>
      </c>
      <c r="B45" s="29" t="s">
        <v>17</v>
      </c>
      <c r="C45" s="21" t="s">
        <v>157</v>
      </c>
      <c r="D45" s="19" t="s">
        <v>158</v>
      </c>
      <c r="E45" s="19" t="s">
        <v>5</v>
      </c>
      <c r="F45" s="21" t="s">
        <v>159</v>
      </c>
      <c r="G45" s="22" t="s">
        <v>35</v>
      </c>
      <c r="H45" s="19" t="s">
        <v>31</v>
      </c>
    </row>
    <row r="46" customFormat="false" ht="15" hidden="false" customHeight="false" outlineLevel="0" collapsed="false">
      <c r="A46" s="19" t="n">
        <v>45</v>
      </c>
      <c r="B46" s="29" t="s">
        <v>17</v>
      </c>
      <c r="C46" s="21" t="s">
        <v>160</v>
      </c>
      <c r="D46" s="19" t="s">
        <v>161</v>
      </c>
      <c r="E46" s="19" t="s">
        <v>5</v>
      </c>
      <c r="F46" s="21" t="s">
        <v>162</v>
      </c>
      <c r="G46" s="22" t="s">
        <v>35</v>
      </c>
      <c r="H46" s="19" t="s">
        <v>31</v>
      </c>
    </row>
  </sheetData>
  <autoFilter ref="A1:H46"/>
  <conditionalFormatting sqref="H2:H46">
    <cfRule type="cellIs" priority="2" operator="equal" aboveAverage="0" equalAverage="0" bottom="0" percent="0" rank="0" text="" dxfId="12">
      <formula>"Solved"</formula>
    </cfRule>
    <cfRule type="cellIs" priority="3" operator="equal" aboveAverage="0" equalAverage="0" bottom="0" percent="0" rank="0" text="" dxfId="13">
      <formula>"Revise"</formula>
    </cfRule>
  </conditionalFormatting>
  <dataValidations count="1">
    <dataValidation allowBlank="true" errorStyle="stop" operator="between" showDropDown="false" showErrorMessage="false" showInputMessage="false" sqref="H2:H46" type="list">
      <formula1>"Not Started,In Progress,Solved,Revise"</formula1>
      <formula2>0</formula2>
    </dataValidation>
  </dataValidations>
  <hyperlinks>
    <hyperlink ref="G3" r:id="rId1" display="Open"/>
    <hyperlink ref="G4" r:id="rId2" display="Open"/>
    <hyperlink ref="G5" r:id="rId3" display="Open"/>
    <hyperlink ref="G7" r:id="rId4" display="Open"/>
    <hyperlink ref="G8" r:id="rId5" display="Open"/>
    <hyperlink ref="G9" r:id="rId6" display="Open"/>
    <hyperlink ref="G10" r:id="rId7" display="Open"/>
    <hyperlink ref="G11" r:id="rId8" display="Open"/>
    <hyperlink ref="G13" r:id="rId9" display="Open"/>
    <hyperlink ref="G14" r:id="rId10" display="Open"/>
    <hyperlink ref="G15" r:id="rId11" display="Open"/>
    <hyperlink ref="G16" r:id="rId12" display="Open"/>
    <hyperlink ref="G17" r:id="rId13" display="Open"/>
    <hyperlink ref="G18" r:id="rId14" display="Open"/>
    <hyperlink ref="G20" r:id="rId15" display="Open"/>
    <hyperlink ref="G21" r:id="rId16" display="Open"/>
    <hyperlink ref="G22" r:id="rId17" display="Open"/>
    <hyperlink ref="G23" r:id="rId18" display="Open"/>
    <hyperlink ref="G24" r:id="rId19" display="Open"/>
    <hyperlink ref="G25" r:id="rId20" display="Open"/>
    <hyperlink ref="G26" r:id="rId21" display="Open"/>
    <hyperlink ref="G27" r:id="rId22" display="Open"/>
    <hyperlink ref="G28" r:id="rId23" display="Open"/>
    <hyperlink ref="G29" r:id="rId24" display="Open"/>
    <hyperlink ref="G30" r:id="rId25" display="Open"/>
    <hyperlink ref="G31" r:id="rId26" display="Open"/>
    <hyperlink ref="G32" r:id="rId27" display="Open"/>
    <hyperlink ref="G33" r:id="rId28" display="Open"/>
    <hyperlink ref="G34" r:id="rId29" display="Open"/>
    <hyperlink ref="G35" r:id="rId30" display="Open"/>
    <hyperlink ref="G36" r:id="rId31" display="Open"/>
    <hyperlink ref="G37" r:id="rId32" display="Open"/>
    <hyperlink ref="G38" r:id="rId33" display="Open"/>
    <hyperlink ref="G39" r:id="rId34" display="Open"/>
    <hyperlink ref="G40" r:id="rId35" display="Open"/>
    <hyperlink ref="G42" r:id="rId36" display="Open"/>
    <hyperlink ref="G43" r:id="rId37" display="Open"/>
    <hyperlink ref="G44" r:id="rId38" display="Open"/>
    <hyperlink ref="G45" r:id="rId39" display="Open"/>
    <hyperlink ref="G46" r:id="rId4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4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20</v>
      </c>
      <c r="B1" s="4" t="s">
        <v>3</v>
      </c>
      <c r="C1" s="4" t="s">
        <v>163</v>
      </c>
      <c r="D1" s="4" t="s">
        <v>23</v>
      </c>
      <c r="E1" s="4" t="s">
        <v>164</v>
      </c>
      <c r="F1" s="4" t="s">
        <v>26</v>
      </c>
    </row>
    <row r="2" customFormat="false" ht="15" hidden="false" customHeight="false" outlineLevel="0" collapsed="false">
      <c r="A2" s="19" t="n">
        <v>1</v>
      </c>
      <c r="B2" s="20" t="s">
        <v>10</v>
      </c>
      <c r="C2" s="21" t="s">
        <v>165</v>
      </c>
      <c r="D2" s="19" t="s">
        <v>4</v>
      </c>
      <c r="E2" s="21" t="s">
        <v>166</v>
      </c>
      <c r="F2" s="19" t="s">
        <v>31</v>
      </c>
    </row>
    <row r="3" customFormat="false" ht="15" hidden="false" customHeight="false" outlineLevel="0" collapsed="false">
      <c r="A3" s="19" t="n">
        <v>2</v>
      </c>
      <c r="B3" s="20" t="s">
        <v>10</v>
      </c>
      <c r="C3" s="21" t="s">
        <v>167</v>
      </c>
      <c r="D3" s="19" t="s">
        <v>4</v>
      </c>
      <c r="E3" s="21" t="s">
        <v>168</v>
      </c>
      <c r="F3" s="19" t="s">
        <v>31</v>
      </c>
    </row>
    <row r="4" customFormat="false" ht="15" hidden="false" customHeight="false" outlineLevel="0" collapsed="false">
      <c r="A4" s="19" t="n">
        <v>3</v>
      </c>
      <c r="B4" s="23" t="s">
        <v>11</v>
      </c>
      <c r="C4" s="21" t="s">
        <v>169</v>
      </c>
      <c r="D4" s="19" t="s">
        <v>4</v>
      </c>
      <c r="E4" s="21" t="s">
        <v>170</v>
      </c>
      <c r="F4" s="19" t="s">
        <v>31</v>
      </c>
    </row>
    <row r="5" customFormat="false" ht="15" hidden="false" customHeight="false" outlineLevel="0" collapsed="false">
      <c r="A5" s="19" t="n">
        <v>4</v>
      </c>
      <c r="B5" s="23" t="s">
        <v>11</v>
      </c>
      <c r="C5" s="21" t="s">
        <v>171</v>
      </c>
      <c r="D5" s="19" t="s">
        <v>4</v>
      </c>
      <c r="E5" s="21" t="s">
        <v>172</v>
      </c>
      <c r="F5" s="19" t="s">
        <v>31</v>
      </c>
    </row>
    <row r="6" customFormat="false" ht="15" hidden="false" customHeight="false" outlineLevel="0" collapsed="false">
      <c r="A6" s="19" t="n">
        <v>5</v>
      </c>
      <c r="B6" s="24" t="s">
        <v>12</v>
      </c>
      <c r="C6" s="21" t="s">
        <v>173</v>
      </c>
      <c r="D6" s="19" t="s">
        <v>5</v>
      </c>
      <c r="E6" s="21" t="s">
        <v>174</v>
      </c>
      <c r="F6" s="19" t="s">
        <v>31</v>
      </c>
    </row>
    <row r="7" customFormat="false" ht="15" hidden="false" customHeight="false" outlineLevel="0" collapsed="false">
      <c r="A7" s="19" t="n">
        <v>6</v>
      </c>
      <c r="B7" s="24" t="s">
        <v>12</v>
      </c>
      <c r="C7" s="21" t="s">
        <v>175</v>
      </c>
      <c r="D7" s="19" t="s">
        <v>5</v>
      </c>
      <c r="E7" s="21" t="s">
        <v>176</v>
      </c>
      <c r="F7" s="19" t="s">
        <v>31</v>
      </c>
    </row>
    <row r="8" customFormat="false" ht="15" hidden="false" customHeight="false" outlineLevel="0" collapsed="false">
      <c r="A8" s="19" t="n">
        <v>7</v>
      </c>
      <c r="B8" s="25" t="s">
        <v>13</v>
      </c>
      <c r="C8" s="21" t="s">
        <v>177</v>
      </c>
      <c r="D8" s="19" t="s">
        <v>4</v>
      </c>
      <c r="E8" s="21" t="s">
        <v>178</v>
      </c>
      <c r="F8" s="19" t="s">
        <v>31</v>
      </c>
    </row>
    <row r="9" customFormat="false" ht="15" hidden="false" customHeight="false" outlineLevel="0" collapsed="false">
      <c r="A9" s="19" t="n">
        <v>8</v>
      </c>
      <c r="B9" s="25" t="s">
        <v>13</v>
      </c>
      <c r="C9" s="21" t="s">
        <v>179</v>
      </c>
      <c r="D9" s="19" t="s">
        <v>4</v>
      </c>
      <c r="E9" s="21" t="s">
        <v>180</v>
      </c>
      <c r="F9" s="19" t="s">
        <v>31</v>
      </c>
    </row>
    <row r="10" customFormat="false" ht="15" hidden="false" customHeight="false" outlineLevel="0" collapsed="false">
      <c r="A10" s="19" t="n">
        <v>9</v>
      </c>
      <c r="B10" s="26" t="s">
        <v>14</v>
      </c>
      <c r="C10" s="21" t="s">
        <v>181</v>
      </c>
      <c r="D10" s="19" t="s">
        <v>4</v>
      </c>
      <c r="E10" s="21" t="s">
        <v>182</v>
      </c>
      <c r="F10" s="19" t="s">
        <v>31</v>
      </c>
    </row>
    <row r="11" customFormat="false" ht="15" hidden="false" customHeight="false" outlineLevel="0" collapsed="false">
      <c r="A11" s="19" t="n">
        <v>10</v>
      </c>
      <c r="B11" s="26" t="s">
        <v>14</v>
      </c>
      <c r="C11" s="21" t="s">
        <v>183</v>
      </c>
      <c r="D11" s="19" t="s">
        <v>4</v>
      </c>
      <c r="E11" s="21" t="s">
        <v>184</v>
      </c>
      <c r="F11" s="19" t="s">
        <v>31</v>
      </c>
    </row>
    <row r="12" customFormat="false" ht="15" hidden="false" customHeight="false" outlineLevel="0" collapsed="false">
      <c r="A12" s="19" t="n">
        <v>11</v>
      </c>
      <c r="B12" s="27" t="s">
        <v>15</v>
      </c>
      <c r="C12" s="21" t="s">
        <v>185</v>
      </c>
      <c r="D12" s="19" t="s">
        <v>4</v>
      </c>
      <c r="E12" s="21" t="s">
        <v>186</v>
      </c>
      <c r="F12" s="19" t="s">
        <v>31</v>
      </c>
    </row>
    <row r="13" customFormat="false" ht="15" hidden="false" customHeight="false" outlineLevel="0" collapsed="false">
      <c r="A13" s="19" t="n">
        <v>12</v>
      </c>
      <c r="B13" s="27" t="s">
        <v>15</v>
      </c>
      <c r="C13" s="21" t="s">
        <v>187</v>
      </c>
      <c r="D13" s="19" t="s">
        <v>4</v>
      </c>
      <c r="E13" s="21" t="s">
        <v>188</v>
      </c>
      <c r="F13" s="19" t="s">
        <v>31</v>
      </c>
    </row>
    <row r="14" customFormat="false" ht="15" hidden="false" customHeight="false" outlineLevel="0" collapsed="false">
      <c r="A14" s="19" t="n">
        <v>13</v>
      </c>
      <c r="B14" s="28" t="s">
        <v>16</v>
      </c>
      <c r="C14" s="21" t="s">
        <v>189</v>
      </c>
      <c r="D14" s="19" t="s">
        <v>4</v>
      </c>
      <c r="E14" s="21" t="s">
        <v>190</v>
      </c>
      <c r="F14" s="19" t="s">
        <v>31</v>
      </c>
    </row>
    <row r="15" customFormat="false" ht="15" hidden="false" customHeight="false" outlineLevel="0" collapsed="false">
      <c r="A15" s="19" t="n">
        <v>14</v>
      </c>
      <c r="B15" s="28" t="s">
        <v>16</v>
      </c>
      <c r="C15" s="21" t="s">
        <v>191</v>
      </c>
      <c r="D15" s="19" t="s">
        <v>5</v>
      </c>
      <c r="E15" s="21" t="s">
        <v>192</v>
      </c>
      <c r="F15" s="19" t="s">
        <v>31</v>
      </c>
    </row>
    <row r="16" customFormat="false" ht="15" hidden="false" customHeight="false" outlineLevel="0" collapsed="false">
      <c r="A16" s="19" t="n">
        <v>15</v>
      </c>
      <c r="B16" s="29" t="s">
        <v>17</v>
      </c>
      <c r="C16" s="21" t="s">
        <v>193</v>
      </c>
      <c r="D16" s="19" t="s">
        <v>4</v>
      </c>
      <c r="E16" s="21" t="s">
        <v>194</v>
      </c>
      <c r="F16" s="19" t="s">
        <v>31</v>
      </c>
    </row>
    <row r="17" customFormat="false" ht="15" hidden="false" customHeight="false" outlineLevel="0" collapsed="false">
      <c r="A17" s="19" t="n">
        <v>16</v>
      </c>
      <c r="B17" s="29" t="s">
        <v>17</v>
      </c>
      <c r="C17" s="21" t="s">
        <v>195</v>
      </c>
      <c r="D17" s="19" t="s">
        <v>5</v>
      </c>
      <c r="E17" s="21" t="s">
        <v>196</v>
      </c>
      <c r="F17" s="19" t="s">
        <v>31</v>
      </c>
    </row>
  </sheetData>
  <autoFilter ref="A1:F17"/>
  <conditionalFormatting sqref="F2:F17">
    <cfRule type="cellIs" priority="2" operator="equal" aboveAverage="0" equalAverage="0" bottom="0" percent="0" rank="0" text="" dxfId="12">
      <formula>"Solved"</formula>
    </cfRule>
    <cfRule type="cellIs" priority="3" operator="equal" aboveAverage="0" equalAverage="0" bottom="0" percent="0" rank="0" text="" dxfId="13">
      <formula>"Revise"</formula>
    </cfRule>
  </conditionalFormatting>
  <dataValidations count="1">
    <dataValidation allowBlank="true" errorStyle="stop" operator="between" showDropDown="false" showErrorMessage="false" showInputMessage="false" sqref="F2:F17" type="list">
      <formula1>"Not Started,In Progress,Solved,Revise"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20</v>
      </c>
      <c r="B1" s="4" t="s">
        <v>197</v>
      </c>
      <c r="C1" s="4" t="s">
        <v>198</v>
      </c>
      <c r="D1" s="4" t="s">
        <v>23</v>
      </c>
      <c r="E1" s="4" t="s">
        <v>199</v>
      </c>
      <c r="F1" s="4" t="s">
        <v>26</v>
      </c>
    </row>
    <row r="2" customFormat="false" ht="15" hidden="false" customHeight="false" outlineLevel="0" collapsed="false">
      <c r="A2" s="19" t="n">
        <v>1</v>
      </c>
      <c r="B2" s="21" t="s">
        <v>200</v>
      </c>
      <c r="C2" s="21" t="s">
        <v>201</v>
      </c>
      <c r="D2" s="19" t="s">
        <v>4</v>
      </c>
      <c r="E2" s="21" t="s">
        <v>202</v>
      </c>
      <c r="F2" s="19" t="s">
        <v>31</v>
      </c>
    </row>
    <row r="3" customFormat="false" ht="15" hidden="false" customHeight="false" outlineLevel="0" collapsed="false">
      <c r="A3" s="19" t="n">
        <v>2</v>
      </c>
      <c r="B3" s="21" t="s">
        <v>200</v>
      </c>
      <c r="C3" s="21" t="s">
        <v>203</v>
      </c>
      <c r="D3" s="19" t="s">
        <v>4</v>
      </c>
      <c r="E3" s="21" t="s">
        <v>204</v>
      </c>
      <c r="F3" s="19" t="s">
        <v>31</v>
      </c>
    </row>
    <row r="4" customFormat="false" ht="15" hidden="false" customHeight="false" outlineLevel="0" collapsed="false">
      <c r="A4" s="19" t="n">
        <v>3</v>
      </c>
      <c r="B4" s="21" t="s">
        <v>200</v>
      </c>
      <c r="C4" s="21" t="s">
        <v>205</v>
      </c>
      <c r="D4" s="19" t="s">
        <v>4</v>
      </c>
      <c r="E4" s="21" t="s">
        <v>206</v>
      </c>
      <c r="F4" s="19" t="s">
        <v>31</v>
      </c>
    </row>
    <row r="5" customFormat="false" ht="15" hidden="false" customHeight="false" outlineLevel="0" collapsed="false">
      <c r="A5" s="19" t="n">
        <v>4</v>
      </c>
      <c r="B5" s="21" t="s">
        <v>200</v>
      </c>
      <c r="C5" s="21" t="s">
        <v>207</v>
      </c>
      <c r="D5" s="19" t="s">
        <v>4</v>
      </c>
      <c r="E5" s="21" t="s">
        <v>208</v>
      </c>
      <c r="F5" s="19" t="s">
        <v>31</v>
      </c>
    </row>
    <row r="6" customFormat="false" ht="15" hidden="false" customHeight="false" outlineLevel="0" collapsed="false">
      <c r="A6" s="19" t="n">
        <v>5</v>
      </c>
      <c r="B6" s="21" t="s">
        <v>200</v>
      </c>
      <c r="C6" s="21" t="s">
        <v>209</v>
      </c>
      <c r="D6" s="19" t="s">
        <v>4</v>
      </c>
      <c r="E6" s="21" t="s">
        <v>210</v>
      </c>
      <c r="F6" s="19" t="s">
        <v>31</v>
      </c>
    </row>
    <row r="7" customFormat="false" ht="15" hidden="false" customHeight="false" outlineLevel="0" collapsed="false">
      <c r="A7" s="19" t="n">
        <v>6</v>
      </c>
      <c r="B7" s="21" t="s">
        <v>200</v>
      </c>
      <c r="C7" s="21" t="s">
        <v>211</v>
      </c>
      <c r="D7" s="19" t="s">
        <v>4</v>
      </c>
      <c r="E7" s="21" t="s">
        <v>212</v>
      </c>
      <c r="F7" s="19" t="s">
        <v>31</v>
      </c>
    </row>
    <row r="8" customFormat="false" ht="15" hidden="false" customHeight="false" outlineLevel="0" collapsed="false">
      <c r="A8" s="19" t="n">
        <v>7</v>
      </c>
      <c r="B8" s="21" t="s">
        <v>200</v>
      </c>
      <c r="C8" s="21" t="s">
        <v>213</v>
      </c>
      <c r="D8" s="19" t="s">
        <v>4</v>
      </c>
      <c r="E8" s="21" t="s">
        <v>214</v>
      </c>
      <c r="F8" s="19" t="s">
        <v>31</v>
      </c>
    </row>
    <row r="9" customFormat="false" ht="15" hidden="false" customHeight="false" outlineLevel="0" collapsed="false">
      <c r="A9" s="19" t="n">
        <v>8</v>
      </c>
      <c r="B9" s="21" t="s">
        <v>200</v>
      </c>
      <c r="C9" s="21" t="s">
        <v>215</v>
      </c>
      <c r="D9" s="19" t="s">
        <v>4</v>
      </c>
      <c r="E9" s="21" t="s">
        <v>216</v>
      </c>
      <c r="F9" s="19" t="s">
        <v>31</v>
      </c>
    </row>
    <row r="10" customFormat="false" ht="15" hidden="false" customHeight="false" outlineLevel="0" collapsed="false">
      <c r="A10" s="19" t="n">
        <v>9</v>
      </c>
      <c r="B10" s="21" t="s">
        <v>217</v>
      </c>
      <c r="C10" s="21" t="s">
        <v>218</v>
      </c>
      <c r="D10" s="19" t="s">
        <v>4</v>
      </c>
      <c r="E10" s="21" t="s">
        <v>219</v>
      </c>
      <c r="F10" s="19" t="s">
        <v>31</v>
      </c>
    </row>
    <row r="11" customFormat="false" ht="15" hidden="false" customHeight="false" outlineLevel="0" collapsed="false">
      <c r="A11" s="19" t="n">
        <v>10</v>
      </c>
      <c r="B11" s="21" t="s">
        <v>217</v>
      </c>
      <c r="C11" s="21" t="s">
        <v>220</v>
      </c>
      <c r="D11" s="19" t="s">
        <v>4</v>
      </c>
      <c r="E11" s="21" t="s">
        <v>221</v>
      </c>
      <c r="F11" s="19" t="s">
        <v>31</v>
      </c>
    </row>
    <row r="12" customFormat="false" ht="15" hidden="false" customHeight="false" outlineLevel="0" collapsed="false">
      <c r="A12" s="19" t="n">
        <v>11</v>
      </c>
      <c r="B12" s="21" t="s">
        <v>217</v>
      </c>
      <c r="C12" s="21" t="s">
        <v>222</v>
      </c>
      <c r="D12" s="19" t="s">
        <v>4</v>
      </c>
      <c r="E12" s="21" t="s">
        <v>223</v>
      </c>
      <c r="F12" s="19" t="s">
        <v>31</v>
      </c>
    </row>
    <row r="13" customFormat="false" ht="15" hidden="false" customHeight="false" outlineLevel="0" collapsed="false">
      <c r="A13" s="19" t="n">
        <v>12</v>
      </c>
      <c r="B13" s="21" t="s">
        <v>217</v>
      </c>
      <c r="C13" s="21" t="s">
        <v>224</v>
      </c>
      <c r="D13" s="19" t="s">
        <v>4</v>
      </c>
      <c r="E13" s="21" t="s">
        <v>225</v>
      </c>
      <c r="F13" s="19" t="s">
        <v>31</v>
      </c>
    </row>
    <row r="14" customFormat="false" ht="15" hidden="false" customHeight="false" outlineLevel="0" collapsed="false">
      <c r="A14" s="19" t="n">
        <v>13</v>
      </c>
      <c r="B14" s="21" t="s">
        <v>217</v>
      </c>
      <c r="C14" s="21" t="s">
        <v>226</v>
      </c>
      <c r="D14" s="19" t="s">
        <v>5</v>
      </c>
      <c r="E14" s="21" t="s">
        <v>227</v>
      </c>
      <c r="F14" s="19" t="s">
        <v>31</v>
      </c>
    </row>
  </sheetData>
  <conditionalFormatting sqref="F2:F14">
    <cfRule type="cellIs" priority="2" operator="equal" aboveAverage="0" equalAverage="0" bottom="0" percent="0" rank="0" text="" dxfId="12">
      <formula>"Solved"</formula>
    </cfRule>
    <cfRule type="cellIs" priority="3" operator="equal" aboveAverage="0" equalAverage="0" bottom="0" percent="0" rank="0" text="" dxfId="13">
      <formula>"Revise"</formula>
    </cfRule>
  </conditionalFormatting>
  <dataValidations count="1">
    <dataValidation allowBlank="true" errorStyle="stop" operator="between" showDropDown="false" showErrorMessage="false" showInputMessage="false" sqref="F2:F14" type="list">
      <formula1>"Not Started,In Progress,Solved,Revise"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2026-10-13T05:26:27Z</dcterms:created>
  <dc:creator>openpyxl</dc:creator>
  <dc:description/>
  <dc:language>en-US</dc:language>
  <cp:lastModifiedBy/>
  <dcterms:modified xsi:type="dcterms:W3CDTF">2026-10-13T05:26:27Z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